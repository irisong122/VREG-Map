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/>
  <mc:AlternateContent xmlns:mc="http://schemas.openxmlformats.org/markup-compatibility/2006">
    <mc:Choice Requires="x15">
      <x15ac:absPath xmlns:x15ac="http://schemas.microsoft.com/office/spreadsheetml/2010/11/ac" url="C:\CEIR\"/>
    </mc:Choice>
  </mc:AlternateContent>
  <xr:revisionPtr revIDLastSave="2" documentId="13_ncr:1_{CBC189A7-4EF0-4481-B10A-4BE05A706F78}" xr6:coauthVersionLast="47" xr6:coauthVersionMax="47" xr10:uidLastSave="{9E8262D5-EE51-4F0F-887D-355C19255E90}"/>
  <bookViews>
    <workbookView xWindow="-110" yWindow="-110" windowWidth="19420" windowHeight="10300" activeTab="4" xr2:uid="{00000000-000D-0000-FFFF-FFFF00000000}"/>
  </bookViews>
  <sheets>
    <sheet name="Numbers" sheetId="4" r:id="rId1"/>
    <sheet name="Colors &amp; Symbols" sheetId="2" state="hidden" r:id="rId2"/>
    <sheet name="Sample Data" sheetId="5" r:id="rId3"/>
    <sheet name="LongData" sheetId="11" r:id="rId4"/>
    <sheet name="hex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tc={743C1AD9-02EB-4F28-B8D0-F343B54B5477}</author>
    <author>tc={96E4B409-4393-4FA3-AD0D-2CE069A83185}</author>
    <author>tc={D6C64D48-A3C5-45C2-8F25-B9880D192F18}</author>
  </authors>
  <commentList>
    <comment ref="F3" authorId="0" shapeId="0" xr:uid="{743C1AD9-02EB-4F28-B8D0-F343B54B5477}">
      <text>
        <t>[Threaded comment]
Your version of Excel allows you to read this threaded comment; however, any edits to it will get removed if the file is opened in a newer version of Excel. Learn more: https://go.microsoft.com/fwlink/?linkid=870924
Comment:
    our sheet says alaska implemented OVR in 2015, and also that they implemented AVR in 2017</t>
      </text>
    </comment>
    <comment ref="D15" authorId="1" shapeId="0" xr:uid="{96E4B409-4393-4FA3-AD0D-2CE069A83185}">
      <text>
        <t>[Threaded comment]
Your version of Excel allows you to read this threaded comment; however, any edits to it will get removed if the file is opened in a newer version of Excel. Learn more: https://go.microsoft.com/fwlink/?linkid=870924
Comment:
    our sheet says illinois did not have OVR until 2014</t>
      </text>
    </comment>
    <comment ref="F22" authorId="2" shapeId="0" xr:uid="{D6C64D48-A3C5-45C2-8F25-B9880D192F18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6? they didn't get rid of OVR right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tc={238E388E-A0EE-4B65-BCE8-9B9A15B876D8}</author>
    <author>tc={A9618BCB-AF7D-44E0-B129-26EE200D6912}</author>
    <author>tc={7C3220B9-7A8B-4DD9-BAC5-62A1FEF2D02A}</author>
  </authors>
  <commentList>
    <comment ref="F3" authorId="0" shapeId="0" xr:uid="{238E388E-A0EE-4B65-BCE8-9B9A15B876D8}">
      <text>
        <t>[Threaded comment]
Your version of Excel allows you to read this threaded comment; however, any edits to it will get removed if the file is opened in a newer version of Excel. Learn more: https://go.microsoft.com/fwlink/?linkid=870924
Comment:
    our sheet says alaska implemented OVR in 2015, and also that they implemented AVR in 2017</t>
      </text>
    </comment>
    <comment ref="D15" authorId="1" shapeId="0" xr:uid="{A9618BCB-AF7D-44E0-B129-26EE200D6912}">
      <text>
        <t>[Threaded comment]
Your version of Excel allows you to read this threaded comment; however, any edits to it will get removed if the file is opened in a newer version of Excel. Learn more: https://go.microsoft.com/fwlink/?linkid=870924
Comment:
    our sheet says illinois did not have OVR until 2014</t>
      </text>
    </comment>
    <comment ref="F22" authorId="2" shapeId="0" xr:uid="{7C3220B9-7A8B-4DD9-BAC5-62A1FEF2D02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6? they didn't get rid of OVR right</t>
      </text>
    </comment>
  </commentList>
</comments>
</file>

<file path=xl/sharedStrings.xml><?xml version="1.0" encoding="utf-8"?>
<sst xmlns="http://schemas.openxmlformats.org/spreadsheetml/2006/main" count="1026" uniqueCount="141">
  <si>
    <t>State</t>
  </si>
  <si>
    <t>Notes</t>
  </si>
  <si>
    <t>Alabama</t>
  </si>
  <si>
    <t>Legend - Availability of Voter Registration Options in Presidential Elections, 2000-2024</t>
  </si>
  <si>
    <t>Alaska</t>
  </si>
  <si>
    <t>Traditional registration only (+ NVRA reqs.)</t>
  </si>
  <si>
    <t>Arizona</t>
  </si>
  <si>
    <t>OVR only</t>
  </si>
  <si>
    <t>Arkansas</t>
  </si>
  <si>
    <t>SDR only</t>
  </si>
  <si>
    <t>California</t>
  </si>
  <si>
    <t xml:space="preserve">OVR &amp; AVR </t>
  </si>
  <si>
    <t>Colorado</t>
  </si>
  <si>
    <t xml:space="preserve">OVR &amp; SDR </t>
  </si>
  <si>
    <t>Connecticut</t>
  </si>
  <si>
    <t>AVR implementation year based on convo with KS</t>
  </si>
  <si>
    <t>OVR, AVR, and SDR</t>
  </si>
  <si>
    <t>D.C.</t>
  </si>
  <si>
    <t>Delaware</t>
  </si>
  <si>
    <t>Florida</t>
  </si>
  <si>
    <t>Georgia</t>
  </si>
  <si>
    <t>Hawaii</t>
  </si>
  <si>
    <t>Hawaii has AVR according to NCSL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</si>
  <si>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</si>
  <si>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</si>
  <si>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</si>
  <si>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</si>
  <si>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</si>
  <si>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</si>
  <si>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</si>
  <si>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</si>
  <si>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</si>
  <si>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AVR Implementation year 2019 according to NCSL</t>
  </si>
  <si>
    <t>Massachusetts</t>
  </si>
  <si>
    <t>No SDR according to NCSL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</si>
  <si>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</si>
  <si>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</si>
  <si>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</si>
  <si>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</si>
  <si>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</si>
  <si>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</si>
  <si>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</si>
  <si>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</si>
  <si>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</si>
  <si>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</si>
  <si>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AVR Implementation in 2020 according to NCSL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</si>
  <si>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</si>
  <si>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</si>
  <si>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</si>
  <si>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</si>
  <si>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</si>
  <si>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</si>
  <si>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</si>
  <si>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</si>
  <si>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</si>
  <si>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</si>
  <si>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No AVR according to NCSL</t>
  </si>
  <si>
    <t>Tennessee</t>
  </si>
  <si>
    <t>Texas</t>
  </si>
  <si>
    <t>Utah</t>
  </si>
  <si>
    <t>Vermont</t>
  </si>
  <si>
    <t>Virginia</t>
  </si>
  <si>
    <t>Washington</t>
  </si>
  <si>
    <t>West Virginia</t>
  </si>
  <si>
    <t>2021 AVR implementation year according to NCSL</t>
  </si>
  <si>
    <t>Wisconsin</t>
  </si>
  <si>
    <t>Wyoming</t>
  </si>
  <si>
    <t xml:space="preserve">Lingering Q's </t>
  </si>
  <si>
    <t>α</t>
  </si>
  <si>
    <t>β</t>
  </si>
  <si>
    <t>δ</t>
  </si>
  <si>
    <t>γ</t>
  </si>
  <si>
    <t>ζ</t>
  </si>
  <si>
    <t>ε</t>
  </si>
  <si>
    <t>AVR Implementation - has it happened?</t>
  </si>
  <si>
    <t xml:space="preserve">Does MA have SDR? </t>
  </si>
  <si>
    <t>When was SDR implemnted? Pre-2014? (depending on state self categorization)</t>
  </si>
  <si>
    <t>AVR Implementation -  2020 or 2025?</t>
  </si>
  <si>
    <t xml:space="preserve">****** </t>
  </si>
  <si>
    <t>AVR implementation - has it happened?? Delayed until at least 2021</t>
  </si>
  <si>
    <t>AVR only (N/A)</t>
  </si>
  <si>
    <t>SDR &amp; AVR (N/A)</t>
  </si>
  <si>
    <t>Year</t>
  </si>
  <si>
    <t>Value</t>
  </si>
  <si>
    <t>HexRow</t>
  </si>
  <si>
    <t>HexColumns</t>
  </si>
  <si>
    <t>StateAbb</t>
  </si>
  <si>
    <t>Row</t>
  </si>
  <si>
    <t>Column</t>
  </si>
  <si>
    <t>Abb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</si>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</sst>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333333"/>
      <name val="Open Sans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3A7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7" xfId="0" applyFont="1" applyBorder="1" applyAlignment="1">
      <alignment wrapText="1"/>
    </xf>
    <xf numFmtId="0" fontId="4" fillId="0" borderId="0" xfId="0" applyFont="1"/>
    <xf numFmtId="0" fontId="4" fillId="0" borderId="7" xfId="0" applyFont="1" applyBorder="1" applyAlignment="1">
      <alignment horizontal="right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25"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3F3CD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3F3CD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3F3CD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3F3CD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Medium9"/>
  <colors>
    <mruColors>
      <color rgb="FFF3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Wright" id="{A2D1EA47-1084-42FC-AB03-27405C00025A}" userId="S::jwright@electioninnovation.org::42774b56-cb2c-4101-9eec-0108561c15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4-07-09T15:41:36.77" personId="{A2D1EA47-1084-42FC-AB03-27405C00025A}" id="{743C1AD9-02EB-4F28-B8D0-F343B54B5477}" done="1">
    <text>our sheet says alaska implemented OVR in 2015, and also that they implemented AVR in 2017</text>
  </threadedComment>
  <threadedComment ref="D15" dT="2024-07-09T16:00:30.53" personId="{A2D1EA47-1084-42FC-AB03-27405C00025A}" id="{96E4B409-4393-4FA3-AD0D-2CE069A83185}" done="1">
    <text>our sheet says illinois did not have OVR until 2014</text>
  </threadedComment>
  <threadedComment ref="F22" dT="2024-07-09T16:08:01.64" personId="{A2D1EA47-1084-42FC-AB03-27405C00025A}" id="{D6C64D48-A3C5-45C2-8F25-B9880D192F18}" done="1">
    <text>should be 6? they didn't get rid of OVR right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4-07-09T15:41:36.77" personId="{A2D1EA47-1084-42FC-AB03-27405C00025A}" id="{238E388E-A0EE-4B65-BCE8-9B9A15B876D8}" done="1">
    <text>our sheet says alaska implemented OVR in 2015, and also that they implemented AVR in 2017</text>
  </threadedComment>
  <threadedComment ref="D15" dT="2024-07-09T16:00:30.53" personId="{A2D1EA47-1084-42FC-AB03-27405C00025A}" id="{A9618BCB-AF7D-44E0-B129-26EE200D6912}" done="1">
    <text>our sheet says illinois did not have OVR until 2014</text>
  </threadedComment>
  <threadedComment ref="F22" dT="2024-07-09T16:08:01.64" personId="{A2D1EA47-1084-42FC-AB03-27405C00025A}" id="{7C3220B9-7A8B-4DD9-BAC5-62A1FEF2D02A}" done="1">
    <text>should be 6? they didn't get rid of OVR right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CCAE-E273-47DE-9042-899FDF08A9EA}">
  <dimension ref="A1:AD52"/>
  <sheetViews>
    <sheetView workbookViewId="0">
      <pane xSplit="1" ySplit="1" topLeftCell="B26" activePane="bottomRight" state="frozen"/>
      <selection pane="bottomRight" activeCell="H35" sqref="H35"/>
      <selection pane="bottomLeft" activeCell="A2" sqref="A2"/>
      <selection pane="topRight" activeCell="B1" sqref="B1"/>
    </sheetView>
  </sheetViews>
  <sheetFormatPr defaultRowHeight="14.45"/>
  <cols>
    <col min="1" max="1" width="14.5703125" customWidth="1"/>
    <col min="14" max="14" width="35" bestFit="1" customWidth="1"/>
  </cols>
  <sheetData>
    <row r="1" spans="1:30" ht="15" thickBot="1">
      <c r="A1" s="1" t="s">
        <v>0</v>
      </c>
      <c r="B1" s="2">
        <v>2000</v>
      </c>
      <c r="C1" s="3">
        <v>2004</v>
      </c>
      <c r="D1" s="2">
        <v>2008</v>
      </c>
      <c r="E1" s="3">
        <v>2012</v>
      </c>
      <c r="F1" s="2">
        <v>2016</v>
      </c>
      <c r="G1" s="3">
        <v>2020</v>
      </c>
      <c r="H1" s="2">
        <v>2024</v>
      </c>
      <c r="I1" t="s">
        <v>1</v>
      </c>
    </row>
    <row r="2" spans="1:30">
      <c r="A2" s="4" t="s">
        <v>2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M2" s="12" t="s">
        <v>3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4"/>
    </row>
    <row r="3" spans="1:30">
      <c r="A3" s="4" t="s">
        <v>4</v>
      </c>
      <c r="B3">
        <v>1</v>
      </c>
      <c r="C3">
        <v>1</v>
      </c>
      <c r="D3">
        <v>1</v>
      </c>
      <c r="E3">
        <v>1</v>
      </c>
      <c r="F3">
        <v>2</v>
      </c>
      <c r="G3">
        <v>4</v>
      </c>
      <c r="H3">
        <v>4</v>
      </c>
      <c r="M3">
        <v>1</v>
      </c>
      <c r="N3" t="s">
        <v>5</v>
      </c>
    </row>
    <row r="4" spans="1:30">
      <c r="A4" s="4" t="s">
        <v>6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M4">
        <v>2</v>
      </c>
      <c r="N4" t="s">
        <v>7</v>
      </c>
    </row>
    <row r="5" spans="1:30">
      <c r="A5" s="4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M5">
        <v>3</v>
      </c>
      <c r="N5" t="s">
        <v>9</v>
      </c>
    </row>
    <row r="6" spans="1:30">
      <c r="A6" s="4" t="s">
        <v>10</v>
      </c>
      <c r="B6">
        <v>1</v>
      </c>
      <c r="C6">
        <v>1</v>
      </c>
      <c r="D6">
        <v>1</v>
      </c>
      <c r="E6">
        <v>2</v>
      </c>
      <c r="F6">
        <v>2</v>
      </c>
      <c r="G6">
        <v>6</v>
      </c>
      <c r="H6">
        <v>6</v>
      </c>
      <c r="M6">
        <v>4</v>
      </c>
      <c r="N6" t="s">
        <v>11</v>
      </c>
    </row>
    <row r="7" spans="1:30">
      <c r="A7" s="4" t="s">
        <v>12</v>
      </c>
      <c r="B7">
        <v>1</v>
      </c>
      <c r="C7">
        <v>1</v>
      </c>
      <c r="D7">
        <v>1</v>
      </c>
      <c r="E7">
        <v>2</v>
      </c>
      <c r="F7">
        <v>5</v>
      </c>
      <c r="G7">
        <v>6</v>
      </c>
      <c r="H7">
        <v>6</v>
      </c>
      <c r="M7">
        <v>5</v>
      </c>
      <c r="N7" t="s">
        <v>13</v>
      </c>
    </row>
    <row r="8" spans="1:30">
      <c r="A8" s="4" t="s">
        <v>14</v>
      </c>
      <c r="B8">
        <v>1</v>
      </c>
      <c r="C8">
        <v>1</v>
      </c>
      <c r="D8">
        <v>1</v>
      </c>
      <c r="E8">
        <v>1</v>
      </c>
      <c r="F8">
        <v>6</v>
      </c>
      <c r="G8">
        <v>6</v>
      </c>
      <c r="H8">
        <v>6</v>
      </c>
      <c r="I8" t="s">
        <v>15</v>
      </c>
      <c r="M8">
        <v>6</v>
      </c>
      <c r="N8" t="s">
        <v>16</v>
      </c>
    </row>
    <row r="9" spans="1:30">
      <c r="A9" s="4" t="s">
        <v>17</v>
      </c>
      <c r="B9">
        <v>1</v>
      </c>
      <c r="C9">
        <v>1</v>
      </c>
      <c r="D9">
        <v>1</v>
      </c>
      <c r="E9">
        <v>3</v>
      </c>
      <c r="F9">
        <v>5</v>
      </c>
      <c r="G9">
        <v>6</v>
      </c>
      <c r="H9">
        <v>6</v>
      </c>
    </row>
    <row r="10" spans="1:30">
      <c r="A10" s="5" t="s">
        <v>18</v>
      </c>
      <c r="B10">
        <v>1</v>
      </c>
      <c r="C10">
        <v>1</v>
      </c>
      <c r="D10">
        <v>1</v>
      </c>
      <c r="E10">
        <v>1</v>
      </c>
      <c r="F10">
        <v>2</v>
      </c>
      <c r="G10">
        <v>2</v>
      </c>
      <c r="H10">
        <v>4</v>
      </c>
    </row>
    <row r="11" spans="1:30">
      <c r="A11" s="4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</row>
    <row r="12" spans="1:30">
      <c r="A12" s="4" t="s">
        <v>20</v>
      </c>
      <c r="B12">
        <v>1</v>
      </c>
      <c r="C12">
        <v>1</v>
      </c>
      <c r="D12">
        <v>1</v>
      </c>
      <c r="E12">
        <v>1</v>
      </c>
      <c r="F12">
        <v>4</v>
      </c>
      <c r="G12">
        <v>4</v>
      </c>
      <c r="H12">
        <v>4</v>
      </c>
    </row>
    <row r="13" spans="1:30">
      <c r="A13" s="4" t="s">
        <v>21</v>
      </c>
      <c r="B13">
        <v>1</v>
      </c>
      <c r="C13">
        <v>1</v>
      </c>
      <c r="D13">
        <v>1</v>
      </c>
      <c r="E13">
        <v>1</v>
      </c>
      <c r="F13">
        <v>5</v>
      </c>
      <c r="G13">
        <v>5</v>
      </c>
      <c r="H13">
        <v>6</v>
      </c>
      <c r="I13" t="s">
        <v>22</v>
      </c>
    </row>
    <row r="14" spans="1:30">
      <c r="A14" s="4" t="s">
        <v>23</v>
      </c>
      <c r="B14">
        <v>3</v>
      </c>
      <c r="C14">
        <v>3</v>
      </c>
      <c r="D14">
        <v>3</v>
      </c>
      <c r="E14">
        <v>3</v>
      </c>
      <c r="F14">
        <v>3</v>
      </c>
      <c r="G14">
        <v>5</v>
      </c>
      <c r="H14">
        <v>5</v>
      </c>
    </row>
    <row r="15" spans="1:30">
      <c r="A15" s="4" t="s">
        <v>24</v>
      </c>
      <c r="B15">
        <v>1</v>
      </c>
      <c r="C15">
        <v>1</v>
      </c>
      <c r="D15">
        <v>3</v>
      </c>
      <c r="E15">
        <v>3</v>
      </c>
      <c r="F15">
        <v>5</v>
      </c>
      <c r="G15">
        <v>6</v>
      </c>
      <c r="H15">
        <v>6</v>
      </c>
    </row>
    <row r="16" spans="1:30">
      <c r="A16" s="4" t="s">
        <v>25</v>
      </c>
      <c r="B16">
        <v>1</v>
      </c>
      <c r="C16">
        <v>1</v>
      </c>
      <c r="D16">
        <v>1</v>
      </c>
      <c r="E16">
        <v>2</v>
      </c>
      <c r="F16">
        <v>2</v>
      </c>
      <c r="G16">
        <v>2</v>
      </c>
      <c r="H16">
        <v>2</v>
      </c>
    </row>
    <row r="17" spans="1:9">
      <c r="A17" s="4" t="s">
        <v>26</v>
      </c>
      <c r="B17">
        <v>1</v>
      </c>
      <c r="C17">
        <v>1</v>
      </c>
      <c r="D17">
        <v>3</v>
      </c>
      <c r="E17">
        <v>3</v>
      </c>
      <c r="F17">
        <v>5</v>
      </c>
      <c r="G17">
        <v>5</v>
      </c>
      <c r="H17">
        <v>5</v>
      </c>
    </row>
    <row r="18" spans="1:9">
      <c r="A18" s="4" t="s">
        <v>27</v>
      </c>
      <c r="B18">
        <v>1</v>
      </c>
      <c r="C18">
        <v>1</v>
      </c>
      <c r="D18">
        <v>1</v>
      </c>
      <c r="E18">
        <v>2</v>
      </c>
      <c r="F18">
        <v>2</v>
      </c>
      <c r="G18">
        <v>2</v>
      </c>
      <c r="H18">
        <v>2</v>
      </c>
    </row>
    <row r="19" spans="1:9">
      <c r="A19" s="4" t="s">
        <v>28</v>
      </c>
      <c r="B19">
        <v>1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</row>
    <row r="20" spans="1:9">
      <c r="A20" s="4" t="s">
        <v>29</v>
      </c>
      <c r="B20">
        <v>1</v>
      </c>
      <c r="C20">
        <v>1</v>
      </c>
      <c r="D20">
        <v>1</v>
      </c>
      <c r="E20">
        <v>2</v>
      </c>
      <c r="F20">
        <v>2</v>
      </c>
      <c r="G20">
        <v>2</v>
      </c>
      <c r="H20">
        <v>2</v>
      </c>
    </row>
    <row r="21" spans="1:9">
      <c r="A21" s="4" t="s">
        <v>30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6</v>
      </c>
    </row>
    <row r="22" spans="1:9">
      <c r="A22" s="4" t="s">
        <v>31</v>
      </c>
      <c r="B22">
        <v>1</v>
      </c>
      <c r="C22">
        <v>1</v>
      </c>
      <c r="D22">
        <v>1</v>
      </c>
      <c r="E22">
        <v>2</v>
      </c>
      <c r="F22">
        <v>5</v>
      </c>
      <c r="G22">
        <v>6</v>
      </c>
      <c r="H22">
        <v>6</v>
      </c>
      <c r="I22" t="s">
        <v>32</v>
      </c>
    </row>
    <row r="23" spans="1:9">
      <c r="A23" s="4" t="s">
        <v>33</v>
      </c>
      <c r="B23">
        <v>1</v>
      </c>
      <c r="C23">
        <v>1</v>
      </c>
      <c r="D23">
        <v>1</v>
      </c>
      <c r="E23">
        <v>1</v>
      </c>
      <c r="F23">
        <v>2</v>
      </c>
      <c r="G23">
        <v>4</v>
      </c>
      <c r="H23">
        <v>4</v>
      </c>
      <c r="I23" t="s">
        <v>34</v>
      </c>
    </row>
    <row r="24" spans="1:9">
      <c r="A24" s="4" t="s">
        <v>35</v>
      </c>
      <c r="B24">
        <v>1</v>
      </c>
      <c r="C24">
        <v>1</v>
      </c>
      <c r="D24">
        <v>1</v>
      </c>
      <c r="E24">
        <v>1</v>
      </c>
      <c r="F24">
        <v>1</v>
      </c>
      <c r="G24">
        <v>6</v>
      </c>
      <c r="H24">
        <v>6</v>
      </c>
    </row>
    <row r="25" spans="1:9">
      <c r="A25" s="4" t="s">
        <v>36</v>
      </c>
      <c r="B25">
        <v>3</v>
      </c>
      <c r="C25">
        <v>3</v>
      </c>
      <c r="D25">
        <v>3</v>
      </c>
      <c r="E25">
        <v>3</v>
      </c>
      <c r="F25">
        <v>5</v>
      </c>
      <c r="G25">
        <v>5</v>
      </c>
      <c r="H25">
        <v>6</v>
      </c>
    </row>
    <row r="26" spans="1:9">
      <c r="A26" s="4" t="s">
        <v>37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</row>
    <row r="27" spans="1:9">
      <c r="A27" s="4" t="s">
        <v>38</v>
      </c>
      <c r="B27">
        <v>1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</row>
    <row r="28" spans="1:9">
      <c r="A28" s="4" t="s">
        <v>39</v>
      </c>
      <c r="B28">
        <v>1</v>
      </c>
      <c r="C28">
        <v>1</v>
      </c>
      <c r="D28">
        <v>3</v>
      </c>
      <c r="E28">
        <v>3</v>
      </c>
      <c r="F28">
        <v>3</v>
      </c>
      <c r="G28">
        <v>3</v>
      </c>
      <c r="H28">
        <v>3</v>
      </c>
    </row>
    <row r="29" spans="1:9">
      <c r="A29" s="4" t="s">
        <v>40</v>
      </c>
      <c r="B29">
        <v>1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t="s">
        <v>34</v>
      </c>
    </row>
    <row r="30" spans="1:9">
      <c r="A30" s="4" t="s">
        <v>41</v>
      </c>
      <c r="B30">
        <v>1</v>
      </c>
      <c r="C30">
        <v>1</v>
      </c>
      <c r="D30">
        <v>1</v>
      </c>
      <c r="E30">
        <v>2</v>
      </c>
      <c r="F30">
        <v>2</v>
      </c>
      <c r="G30">
        <v>6</v>
      </c>
      <c r="H30">
        <v>6</v>
      </c>
    </row>
    <row r="31" spans="1:9">
      <c r="A31" s="4" t="s">
        <v>42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</row>
    <row r="32" spans="1:9">
      <c r="A32" s="4" t="s">
        <v>43</v>
      </c>
      <c r="B32">
        <v>1</v>
      </c>
      <c r="C32">
        <v>1</v>
      </c>
      <c r="D32">
        <v>1</v>
      </c>
      <c r="E32">
        <v>1</v>
      </c>
      <c r="F32">
        <v>1</v>
      </c>
      <c r="G32">
        <v>4</v>
      </c>
      <c r="H32">
        <v>4</v>
      </c>
    </row>
    <row r="33" spans="1:9">
      <c r="A33" s="4" t="s">
        <v>44</v>
      </c>
      <c r="B33">
        <v>1</v>
      </c>
      <c r="C33">
        <v>1</v>
      </c>
      <c r="D33">
        <v>1</v>
      </c>
      <c r="E33">
        <v>1</v>
      </c>
      <c r="F33">
        <v>2</v>
      </c>
      <c r="G33">
        <v>6</v>
      </c>
      <c r="H33">
        <v>6</v>
      </c>
      <c r="I33" t="s">
        <v>45</v>
      </c>
    </row>
    <row r="34" spans="1:9">
      <c r="A34" s="4" t="s">
        <v>46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5</v>
      </c>
    </row>
    <row r="35" spans="1:9">
      <c r="A35" s="4" t="s">
        <v>47</v>
      </c>
      <c r="B35">
        <v>1</v>
      </c>
      <c r="C35">
        <v>1</v>
      </c>
      <c r="D35">
        <v>3</v>
      </c>
      <c r="E35">
        <v>3</v>
      </c>
      <c r="F35">
        <v>3</v>
      </c>
      <c r="G35">
        <v>5</v>
      </c>
      <c r="H35">
        <v>5</v>
      </c>
    </row>
    <row r="36" spans="1:9">
      <c r="A36" s="4" t="s">
        <v>48</v>
      </c>
      <c r="B36" s="6">
        <v>3</v>
      </c>
      <c r="C36" s="6">
        <v>3</v>
      </c>
      <c r="D36" s="6">
        <v>3</v>
      </c>
      <c r="E36" s="6">
        <v>3</v>
      </c>
      <c r="F36" s="6">
        <v>3</v>
      </c>
      <c r="G36" s="6">
        <v>3</v>
      </c>
      <c r="H36" s="6">
        <v>3</v>
      </c>
    </row>
    <row r="37" spans="1:9">
      <c r="A37" s="4" t="s">
        <v>49</v>
      </c>
      <c r="B37">
        <v>1</v>
      </c>
      <c r="C37">
        <v>1</v>
      </c>
      <c r="D37">
        <v>3</v>
      </c>
      <c r="E37">
        <v>3</v>
      </c>
      <c r="F37">
        <v>1</v>
      </c>
      <c r="G37">
        <v>2</v>
      </c>
      <c r="H37">
        <v>2</v>
      </c>
    </row>
    <row r="38" spans="1:9">
      <c r="A38" s="4" t="s">
        <v>50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2</v>
      </c>
    </row>
    <row r="39" spans="1:9">
      <c r="A39" s="4" t="s">
        <v>51</v>
      </c>
      <c r="B39">
        <v>1</v>
      </c>
      <c r="C39">
        <v>1</v>
      </c>
      <c r="D39">
        <v>1</v>
      </c>
      <c r="E39">
        <v>2</v>
      </c>
      <c r="F39">
        <v>4</v>
      </c>
      <c r="G39">
        <v>4</v>
      </c>
      <c r="H39">
        <v>4</v>
      </c>
    </row>
    <row r="40" spans="1:9">
      <c r="A40" s="4" t="s">
        <v>52</v>
      </c>
      <c r="B40">
        <v>1</v>
      </c>
      <c r="C40">
        <v>1</v>
      </c>
      <c r="D40">
        <v>1</v>
      </c>
      <c r="E40">
        <v>1</v>
      </c>
      <c r="F40">
        <v>2</v>
      </c>
      <c r="G40">
        <v>2</v>
      </c>
      <c r="H40">
        <v>4</v>
      </c>
    </row>
    <row r="41" spans="1:9">
      <c r="A41" s="4" t="s">
        <v>53</v>
      </c>
      <c r="B41">
        <v>1</v>
      </c>
      <c r="C41">
        <v>1</v>
      </c>
      <c r="D41">
        <v>1</v>
      </c>
      <c r="E41">
        <v>1</v>
      </c>
      <c r="F41">
        <v>2</v>
      </c>
      <c r="G41">
        <v>4</v>
      </c>
      <c r="H41">
        <v>4</v>
      </c>
    </row>
    <row r="42" spans="1:9">
      <c r="A42" s="4" t="s">
        <v>54</v>
      </c>
      <c r="B42">
        <v>1</v>
      </c>
      <c r="C42">
        <v>1</v>
      </c>
      <c r="D42">
        <v>1</v>
      </c>
      <c r="E42">
        <v>2</v>
      </c>
      <c r="F42">
        <v>2</v>
      </c>
      <c r="G42">
        <v>2</v>
      </c>
      <c r="H42">
        <v>2</v>
      </c>
    </row>
    <row r="43" spans="1:9">
      <c r="A43" s="4" t="s">
        <v>55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 t="s">
        <v>56</v>
      </c>
    </row>
    <row r="44" spans="1:9">
      <c r="A44" s="4" t="s">
        <v>57</v>
      </c>
      <c r="B44">
        <v>1</v>
      </c>
      <c r="C44">
        <v>1</v>
      </c>
      <c r="D44">
        <v>1</v>
      </c>
      <c r="E44">
        <v>1</v>
      </c>
      <c r="F44">
        <v>1</v>
      </c>
      <c r="G44">
        <v>2</v>
      </c>
      <c r="H44">
        <v>2</v>
      </c>
    </row>
    <row r="45" spans="1:9">
      <c r="A45" s="4" t="s">
        <v>58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1:9">
      <c r="A46" s="4" t="s">
        <v>59</v>
      </c>
      <c r="B46">
        <v>1</v>
      </c>
      <c r="C46">
        <v>1</v>
      </c>
      <c r="D46">
        <v>1</v>
      </c>
      <c r="E46">
        <v>2</v>
      </c>
      <c r="F46">
        <v>2</v>
      </c>
      <c r="G46">
        <v>5</v>
      </c>
      <c r="H46">
        <v>5</v>
      </c>
      <c r="I46" t="s">
        <v>56</v>
      </c>
    </row>
    <row r="47" spans="1:9">
      <c r="A47" s="4" t="s">
        <v>60</v>
      </c>
      <c r="B47">
        <v>1</v>
      </c>
      <c r="C47">
        <v>1</v>
      </c>
      <c r="D47">
        <v>1</v>
      </c>
      <c r="E47">
        <v>1</v>
      </c>
      <c r="F47">
        <v>2</v>
      </c>
      <c r="G47">
        <v>6</v>
      </c>
      <c r="H47">
        <v>6</v>
      </c>
    </row>
    <row r="48" spans="1:9">
      <c r="A48" s="4" t="s">
        <v>61</v>
      </c>
      <c r="B48">
        <v>1</v>
      </c>
      <c r="C48">
        <v>1</v>
      </c>
      <c r="D48">
        <v>1</v>
      </c>
      <c r="E48">
        <v>1</v>
      </c>
      <c r="F48">
        <v>2</v>
      </c>
      <c r="G48">
        <v>4</v>
      </c>
      <c r="H48">
        <v>6</v>
      </c>
    </row>
    <row r="49" spans="1:9">
      <c r="A49" s="4" t="s">
        <v>62</v>
      </c>
      <c r="B49">
        <v>1</v>
      </c>
      <c r="C49">
        <v>1</v>
      </c>
      <c r="D49">
        <v>2</v>
      </c>
      <c r="E49">
        <v>2</v>
      </c>
      <c r="F49">
        <v>2</v>
      </c>
      <c r="G49">
        <v>6</v>
      </c>
      <c r="H49">
        <v>6</v>
      </c>
    </row>
    <row r="50" spans="1:9">
      <c r="A50" s="4" t="s">
        <v>63</v>
      </c>
      <c r="B50">
        <v>1</v>
      </c>
      <c r="C50">
        <v>1</v>
      </c>
      <c r="D50">
        <v>1</v>
      </c>
      <c r="E50">
        <v>1</v>
      </c>
      <c r="F50">
        <v>2</v>
      </c>
      <c r="G50">
        <v>2</v>
      </c>
      <c r="H50">
        <v>4</v>
      </c>
      <c r="I50" t="s">
        <v>64</v>
      </c>
    </row>
    <row r="51" spans="1:9">
      <c r="A51" s="4" t="s">
        <v>65</v>
      </c>
      <c r="B51">
        <v>3</v>
      </c>
      <c r="C51">
        <v>3</v>
      </c>
      <c r="D51">
        <v>3</v>
      </c>
      <c r="E51">
        <v>3</v>
      </c>
      <c r="F51">
        <v>3</v>
      </c>
      <c r="G51">
        <v>5</v>
      </c>
      <c r="H51">
        <v>5</v>
      </c>
    </row>
    <row r="52" spans="1:9">
      <c r="A52" s="4" t="s">
        <v>66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</row>
  </sheetData>
  <mergeCells count="1">
    <mergeCell ref="M2:AD2"/>
  </mergeCells>
  <conditionalFormatting sqref="B1:H1048576">
    <cfRule type="cellIs" dxfId="24" priority="1" operator="equal">
      <formula>3</formula>
    </cfRule>
    <cfRule type="cellIs" dxfId="23" priority="2" operator="equal">
      <formula>8</formula>
    </cfRule>
    <cfRule type="cellIs" dxfId="22" priority="3" operator="equal">
      <formula>6</formula>
    </cfRule>
    <cfRule type="cellIs" dxfId="21" priority="4" operator="equal">
      <formula>5</formula>
    </cfRule>
    <cfRule type="cellIs" dxfId="20" priority="5" operator="equal">
      <formula>4</formula>
    </cfRule>
    <cfRule type="cellIs" dxfId="19" priority="6" operator="equal">
      <formula>2</formula>
    </cfRule>
    <cfRule type="cellIs" dxfId="18" priority="7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8A3-64B1-4853-B933-22077BCA2169}">
  <dimension ref="A1:AD52"/>
  <sheetViews>
    <sheetView workbookViewId="0">
      <selection activeCell="M6" sqref="M6"/>
    </sheetView>
  </sheetViews>
  <sheetFormatPr defaultRowHeight="14.45"/>
  <cols>
    <col min="1" max="1" width="14.5703125" customWidth="1"/>
    <col min="14" max="14" width="35" bestFit="1" customWidth="1"/>
  </cols>
  <sheetData>
    <row r="1" spans="1:30" ht="15" thickBot="1">
      <c r="A1" s="1" t="s">
        <v>0</v>
      </c>
      <c r="B1" s="2">
        <v>2000</v>
      </c>
      <c r="C1" s="3">
        <v>2004</v>
      </c>
      <c r="D1" s="2">
        <v>2008</v>
      </c>
      <c r="E1" s="3">
        <v>2012</v>
      </c>
      <c r="F1" s="2">
        <v>2016</v>
      </c>
      <c r="G1" s="3">
        <v>2020</v>
      </c>
      <c r="H1" s="2">
        <v>2024</v>
      </c>
      <c r="I1" t="s">
        <v>67</v>
      </c>
    </row>
    <row r="2" spans="1:30">
      <c r="A2" s="4" t="s">
        <v>2</v>
      </c>
      <c r="B2" t="s">
        <v>68</v>
      </c>
      <c r="C2" t="s">
        <v>68</v>
      </c>
      <c r="D2" t="s">
        <v>68</v>
      </c>
      <c r="E2" t="s">
        <v>68</v>
      </c>
      <c r="F2" t="s">
        <v>69</v>
      </c>
      <c r="G2" t="s">
        <v>69</v>
      </c>
      <c r="H2" t="s">
        <v>69</v>
      </c>
      <c r="M2" s="12" t="s">
        <v>3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4"/>
    </row>
    <row r="3" spans="1:30">
      <c r="A3" s="4" t="s">
        <v>4</v>
      </c>
      <c r="B3" t="s">
        <v>68</v>
      </c>
      <c r="C3" t="s">
        <v>68</v>
      </c>
      <c r="D3" t="s">
        <v>68</v>
      </c>
      <c r="E3" t="s">
        <v>68</v>
      </c>
      <c r="F3" t="s">
        <v>69</v>
      </c>
      <c r="G3" t="s">
        <v>70</v>
      </c>
      <c r="H3" t="s">
        <v>70</v>
      </c>
      <c r="M3" s="8" t="s">
        <v>68</v>
      </c>
      <c r="N3" t="s">
        <v>5</v>
      </c>
    </row>
    <row r="4" spans="1:30">
      <c r="A4" s="4" t="s">
        <v>6</v>
      </c>
      <c r="B4" t="s">
        <v>68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M4" s="8" t="s">
        <v>69</v>
      </c>
      <c r="N4" t="s">
        <v>7</v>
      </c>
    </row>
    <row r="5" spans="1:30">
      <c r="A5" s="4" t="s">
        <v>8</v>
      </c>
      <c r="B5" t="s">
        <v>68</v>
      </c>
      <c r="C5" t="s">
        <v>68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M5" s="8" t="s">
        <v>71</v>
      </c>
      <c r="N5" t="s">
        <v>9</v>
      </c>
    </row>
    <row r="6" spans="1:30">
      <c r="A6" s="4" t="s">
        <v>10</v>
      </c>
      <c r="B6" t="s">
        <v>68</v>
      </c>
      <c r="C6" t="s">
        <v>68</v>
      </c>
      <c r="D6" t="s">
        <v>68</v>
      </c>
      <c r="E6" t="s">
        <v>69</v>
      </c>
      <c r="F6" t="s">
        <v>69</v>
      </c>
      <c r="G6" t="s">
        <v>72</v>
      </c>
      <c r="H6" t="s">
        <v>72</v>
      </c>
      <c r="M6" s="8" t="s">
        <v>70</v>
      </c>
      <c r="N6" t="s">
        <v>11</v>
      </c>
    </row>
    <row r="7" spans="1:30">
      <c r="A7" s="4" t="s">
        <v>12</v>
      </c>
      <c r="B7" t="s">
        <v>68</v>
      </c>
      <c r="C7" t="s">
        <v>68</v>
      </c>
      <c r="D7" t="s">
        <v>68</v>
      </c>
      <c r="E7" t="s">
        <v>69</v>
      </c>
      <c r="F7" t="s">
        <v>73</v>
      </c>
      <c r="G7" t="s">
        <v>72</v>
      </c>
      <c r="H7" t="s">
        <v>72</v>
      </c>
      <c r="M7" s="8" t="s">
        <v>73</v>
      </c>
      <c r="N7" t="s">
        <v>13</v>
      </c>
    </row>
    <row r="8" spans="1:30">
      <c r="A8" s="4" t="s">
        <v>14</v>
      </c>
      <c r="B8" t="s">
        <v>68</v>
      </c>
      <c r="C8" t="s">
        <v>68</v>
      </c>
      <c r="D8" t="s">
        <v>68</v>
      </c>
      <c r="E8" t="s">
        <v>68</v>
      </c>
      <c r="F8" t="s">
        <v>72</v>
      </c>
      <c r="G8" t="s">
        <v>72</v>
      </c>
      <c r="H8" t="s">
        <v>72</v>
      </c>
      <c r="M8" s="8" t="s">
        <v>72</v>
      </c>
      <c r="N8" t="s">
        <v>16</v>
      </c>
    </row>
    <row r="9" spans="1:30">
      <c r="A9" s="4" t="s">
        <v>17</v>
      </c>
      <c r="B9" t="s">
        <v>68</v>
      </c>
      <c r="C9" t="s">
        <v>68</v>
      </c>
      <c r="D9" t="s">
        <v>68</v>
      </c>
      <c r="E9" t="s">
        <v>71</v>
      </c>
      <c r="F9" t="s">
        <v>73</v>
      </c>
      <c r="G9" t="s">
        <v>72</v>
      </c>
      <c r="H9" t="s">
        <v>72</v>
      </c>
    </row>
    <row r="10" spans="1:30">
      <c r="A10" s="5" t="s">
        <v>18</v>
      </c>
      <c r="B10" t="s">
        <v>68</v>
      </c>
      <c r="C10" t="s">
        <v>68</v>
      </c>
      <c r="D10" t="s">
        <v>68</v>
      </c>
      <c r="E10" t="s">
        <v>68</v>
      </c>
      <c r="F10" t="s">
        <v>69</v>
      </c>
      <c r="G10" t="s">
        <v>69</v>
      </c>
      <c r="H10" t="s">
        <v>70</v>
      </c>
    </row>
    <row r="11" spans="1:30">
      <c r="A11" s="4" t="s">
        <v>19</v>
      </c>
      <c r="B11" t="s">
        <v>68</v>
      </c>
      <c r="C11" t="s">
        <v>68</v>
      </c>
      <c r="D11" t="s">
        <v>68</v>
      </c>
      <c r="E11" t="s">
        <v>68</v>
      </c>
      <c r="F11" t="s">
        <v>68</v>
      </c>
      <c r="G11" t="s">
        <v>69</v>
      </c>
      <c r="H11" t="s">
        <v>69</v>
      </c>
    </row>
    <row r="12" spans="1:30">
      <c r="A12" s="4" t="s">
        <v>20</v>
      </c>
      <c r="B12" t="s">
        <v>68</v>
      </c>
      <c r="C12" t="s">
        <v>68</v>
      </c>
      <c r="D12" t="s">
        <v>68</v>
      </c>
      <c r="E12" t="s">
        <v>68</v>
      </c>
      <c r="F12" t="s">
        <v>70</v>
      </c>
      <c r="G12" t="s">
        <v>70</v>
      </c>
      <c r="H12" t="s">
        <v>70</v>
      </c>
    </row>
    <row r="13" spans="1:30">
      <c r="A13" s="4" t="s">
        <v>21</v>
      </c>
      <c r="B13" t="s">
        <v>68</v>
      </c>
      <c r="C13" t="s">
        <v>68</v>
      </c>
      <c r="D13" t="s">
        <v>68</v>
      </c>
      <c r="E13" t="s">
        <v>68</v>
      </c>
      <c r="F13" t="s">
        <v>73</v>
      </c>
      <c r="G13" t="s">
        <v>73</v>
      </c>
      <c r="H13" t="s">
        <v>72</v>
      </c>
    </row>
    <row r="14" spans="1:30">
      <c r="A14" s="4" t="s">
        <v>23</v>
      </c>
      <c r="B14" t="s">
        <v>71</v>
      </c>
      <c r="C14" t="s">
        <v>71</v>
      </c>
      <c r="D14" t="s">
        <v>71</v>
      </c>
      <c r="E14" t="s">
        <v>71</v>
      </c>
      <c r="F14" t="s">
        <v>71</v>
      </c>
      <c r="G14" t="s">
        <v>73</v>
      </c>
      <c r="H14" t="s">
        <v>73</v>
      </c>
    </row>
    <row r="15" spans="1:30">
      <c r="A15" s="4" t="s">
        <v>24</v>
      </c>
      <c r="B15" t="s">
        <v>68</v>
      </c>
      <c r="C15" t="s">
        <v>68</v>
      </c>
      <c r="D15" t="s">
        <v>71</v>
      </c>
      <c r="E15" t="s">
        <v>71</v>
      </c>
      <c r="F15" t="s">
        <v>73</v>
      </c>
      <c r="G15" t="s">
        <v>72</v>
      </c>
      <c r="H15" t="s">
        <v>72</v>
      </c>
    </row>
    <row r="16" spans="1:30">
      <c r="A16" s="4" t="s">
        <v>25</v>
      </c>
      <c r="B16" t="s">
        <v>68</v>
      </c>
      <c r="C16" t="s">
        <v>68</v>
      </c>
      <c r="D16" t="s">
        <v>68</v>
      </c>
      <c r="E16" t="s">
        <v>69</v>
      </c>
      <c r="F16" t="s">
        <v>69</v>
      </c>
      <c r="G16" t="s">
        <v>69</v>
      </c>
      <c r="H16" t="s">
        <v>69</v>
      </c>
    </row>
    <row r="17" spans="1:9">
      <c r="A17" s="4" t="s">
        <v>26</v>
      </c>
      <c r="B17" t="s">
        <v>68</v>
      </c>
      <c r="C17" t="s">
        <v>68</v>
      </c>
      <c r="D17" t="s">
        <v>71</v>
      </c>
      <c r="E17" t="s">
        <v>71</v>
      </c>
      <c r="F17" t="s">
        <v>73</v>
      </c>
      <c r="G17" t="s">
        <v>73</v>
      </c>
      <c r="H17" t="s">
        <v>73</v>
      </c>
    </row>
    <row r="18" spans="1:9">
      <c r="A18" s="4" t="s">
        <v>27</v>
      </c>
      <c r="B18" t="s">
        <v>68</v>
      </c>
      <c r="C18" t="s">
        <v>68</v>
      </c>
      <c r="D18" t="s">
        <v>68</v>
      </c>
      <c r="E18" t="s">
        <v>69</v>
      </c>
      <c r="F18" t="s">
        <v>69</v>
      </c>
      <c r="G18" t="s">
        <v>69</v>
      </c>
      <c r="H18" t="s">
        <v>69</v>
      </c>
    </row>
    <row r="19" spans="1:9">
      <c r="A19" s="4" t="s">
        <v>28</v>
      </c>
      <c r="B19" t="s">
        <v>68</v>
      </c>
      <c r="C19" t="s">
        <v>68</v>
      </c>
      <c r="D19" t="s">
        <v>68</v>
      </c>
      <c r="E19" t="s">
        <v>68</v>
      </c>
      <c r="F19" t="s">
        <v>69</v>
      </c>
      <c r="G19" t="s">
        <v>69</v>
      </c>
      <c r="H19" t="s">
        <v>69</v>
      </c>
    </row>
    <row r="20" spans="1:9">
      <c r="A20" s="4" t="s">
        <v>29</v>
      </c>
      <c r="B20" t="s">
        <v>68</v>
      </c>
      <c r="C20" t="s">
        <v>68</v>
      </c>
      <c r="D20" t="s">
        <v>68</v>
      </c>
      <c r="E20" t="s">
        <v>69</v>
      </c>
      <c r="F20" t="s">
        <v>69</v>
      </c>
      <c r="G20" t="s">
        <v>69</v>
      </c>
      <c r="H20" t="s">
        <v>69</v>
      </c>
    </row>
    <row r="21" spans="1:9">
      <c r="A21" s="4" t="s">
        <v>30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72</v>
      </c>
    </row>
    <row r="22" spans="1:9">
      <c r="A22" s="4" t="s">
        <v>31</v>
      </c>
      <c r="B22" t="s">
        <v>68</v>
      </c>
      <c r="C22" t="s">
        <v>68</v>
      </c>
      <c r="D22" t="s">
        <v>68</v>
      </c>
      <c r="E22" t="s">
        <v>69</v>
      </c>
      <c r="F22" t="s">
        <v>73</v>
      </c>
      <c r="I22" t="s">
        <v>74</v>
      </c>
    </row>
    <row r="23" spans="1:9">
      <c r="A23" s="4" t="s">
        <v>33</v>
      </c>
      <c r="B23" t="s">
        <v>68</v>
      </c>
      <c r="C23" t="s">
        <v>68</v>
      </c>
      <c r="D23" t="s">
        <v>68</v>
      </c>
      <c r="E23" t="s">
        <v>68</v>
      </c>
      <c r="F23" t="s">
        <v>69</v>
      </c>
      <c r="G23" t="s">
        <v>70</v>
      </c>
      <c r="H23" t="s">
        <v>70</v>
      </c>
      <c r="I23" t="s">
        <v>75</v>
      </c>
    </row>
    <row r="24" spans="1:9">
      <c r="A24" s="4" t="s">
        <v>35</v>
      </c>
      <c r="B24" t="s">
        <v>68</v>
      </c>
      <c r="C24" t="s">
        <v>68</v>
      </c>
      <c r="D24" t="s">
        <v>68</v>
      </c>
      <c r="E24" t="s">
        <v>68</v>
      </c>
      <c r="F24" t="s">
        <v>68</v>
      </c>
      <c r="G24" t="s">
        <v>72</v>
      </c>
      <c r="H24" t="s">
        <v>72</v>
      </c>
    </row>
    <row r="25" spans="1:9">
      <c r="A25" s="4" t="s">
        <v>36</v>
      </c>
      <c r="B25" t="s">
        <v>71</v>
      </c>
      <c r="C25" t="s">
        <v>71</v>
      </c>
      <c r="D25" t="s">
        <v>71</v>
      </c>
      <c r="E25" t="s">
        <v>71</v>
      </c>
      <c r="F25" t="s">
        <v>73</v>
      </c>
      <c r="G25" t="s">
        <v>73</v>
      </c>
      <c r="H25" t="s">
        <v>72</v>
      </c>
    </row>
    <row r="26" spans="1:9">
      <c r="A26" s="4" t="s">
        <v>37</v>
      </c>
      <c r="B26" t="s">
        <v>68</v>
      </c>
      <c r="C26" t="s">
        <v>68</v>
      </c>
      <c r="D26" t="s">
        <v>68</v>
      </c>
      <c r="E26" t="s">
        <v>68</v>
      </c>
      <c r="F26" t="s">
        <v>68</v>
      </c>
      <c r="G26" t="s">
        <v>68</v>
      </c>
      <c r="H26" t="s">
        <v>68</v>
      </c>
    </row>
    <row r="27" spans="1:9">
      <c r="A27" s="4" t="s">
        <v>38</v>
      </c>
      <c r="B27" t="s">
        <v>68</v>
      </c>
      <c r="C27" t="s">
        <v>68</v>
      </c>
      <c r="D27" t="s">
        <v>68</v>
      </c>
      <c r="E27" t="s">
        <v>68</v>
      </c>
      <c r="F27" t="s">
        <v>69</v>
      </c>
      <c r="G27" t="s">
        <v>69</v>
      </c>
      <c r="H27" t="s">
        <v>69</v>
      </c>
    </row>
    <row r="28" spans="1:9">
      <c r="A28" s="4" t="s">
        <v>39</v>
      </c>
      <c r="B28" t="s">
        <v>68</v>
      </c>
      <c r="C28" t="s">
        <v>68</v>
      </c>
      <c r="D28" t="s">
        <v>71</v>
      </c>
      <c r="E28" t="s">
        <v>71</v>
      </c>
      <c r="F28" t="s">
        <v>71</v>
      </c>
      <c r="G28" t="s">
        <v>71</v>
      </c>
      <c r="H28" t="s">
        <v>71</v>
      </c>
    </row>
    <row r="29" spans="1:9">
      <c r="A29" s="4" t="s">
        <v>40</v>
      </c>
      <c r="B29" t="s">
        <v>68</v>
      </c>
      <c r="C29" t="s">
        <v>68</v>
      </c>
      <c r="D29" t="s">
        <v>68</v>
      </c>
      <c r="E29" t="s">
        <v>68</v>
      </c>
      <c r="F29" t="s">
        <v>73</v>
      </c>
      <c r="G29" t="s">
        <v>73</v>
      </c>
      <c r="H29" t="s">
        <v>73</v>
      </c>
      <c r="I29" t="s">
        <v>76</v>
      </c>
    </row>
    <row r="30" spans="1:9">
      <c r="A30" s="4" t="s">
        <v>41</v>
      </c>
      <c r="B30" t="s">
        <v>68</v>
      </c>
      <c r="C30" t="s">
        <v>68</v>
      </c>
      <c r="D30" t="s">
        <v>68</v>
      </c>
      <c r="E30" t="s">
        <v>69</v>
      </c>
      <c r="F30" t="s">
        <v>69</v>
      </c>
      <c r="G30" t="s">
        <v>72</v>
      </c>
      <c r="H30" t="s">
        <v>72</v>
      </c>
    </row>
    <row r="31" spans="1:9">
      <c r="A31" s="4" t="s">
        <v>42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</row>
    <row r="32" spans="1:9">
      <c r="A32" s="4" t="s">
        <v>43</v>
      </c>
      <c r="B32" t="s">
        <v>68</v>
      </c>
      <c r="C32" t="s">
        <v>68</v>
      </c>
      <c r="D32" t="s">
        <v>68</v>
      </c>
      <c r="E32" t="s">
        <v>68</v>
      </c>
      <c r="F32" t="s">
        <v>68</v>
      </c>
      <c r="G32" t="s">
        <v>70</v>
      </c>
      <c r="H32" t="s">
        <v>70</v>
      </c>
    </row>
    <row r="33" spans="1:9">
      <c r="A33" s="4" t="s">
        <v>44</v>
      </c>
      <c r="B33" t="s">
        <v>68</v>
      </c>
      <c r="C33" t="s">
        <v>68</v>
      </c>
      <c r="D33" t="s">
        <v>68</v>
      </c>
      <c r="E33" t="s">
        <v>68</v>
      </c>
      <c r="F33" t="s">
        <v>69</v>
      </c>
      <c r="G33" t="s">
        <v>73</v>
      </c>
      <c r="H33" t="s">
        <v>72</v>
      </c>
      <c r="I33" t="s">
        <v>77</v>
      </c>
    </row>
    <row r="34" spans="1:9">
      <c r="A34" s="4" t="s">
        <v>46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73</v>
      </c>
    </row>
    <row r="35" spans="1:9">
      <c r="A35" s="4" t="s">
        <v>47</v>
      </c>
      <c r="B35" t="s">
        <v>68</v>
      </c>
      <c r="C35" t="s">
        <v>68</v>
      </c>
      <c r="D35" t="s">
        <v>71</v>
      </c>
      <c r="E35" t="s">
        <v>71</v>
      </c>
      <c r="F35" t="s">
        <v>71</v>
      </c>
      <c r="G35" t="s">
        <v>73</v>
      </c>
      <c r="H35" t="s">
        <v>73</v>
      </c>
    </row>
    <row r="36" spans="1:9">
      <c r="A36" s="4" t="s">
        <v>48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78</v>
      </c>
    </row>
    <row r="37" spans="1:9">
      <c r="A37" s="4" t="s">
        <v>49</v>
      </c>
      <c r="B37" t="s">
        <v>68</v>
      </c>
      <c r="C37" t="s">
        <v>68</v>
      </c>
      <c r="D37" t="s">
        <v>71</v>
      </c>
      <c r="E37" t="s">
        <v>71</v>
      </c>
      <c r="F37" t="s">
        <v>68</v>
      </c>
      <c r="G37" t="s">
        <v>69</v>
      </c>
      <c r="H37" t="s">
        <v>69</v>
      </c>
    </row>
    <row r="38" spans="1:9">
      <c r="A38" s="4" t="s">
        <v>50</v>
      </c>
      <c r="B38" t="s">
        <v>68</v>
      </c>
      <c r="C38" t="s">
        <v>68</v>
      </c>
      <c r="D38" t="s">
        <v>68</v>
      </c>
      <c r="E38" t="s">
        <v>68</v>
      </c>
      <c r="F38" t="s">
        <v>68</v>
      </c>
      <c r="G38" t="s">
        <v>68</v>
      </c>
      <c r="H38" t="s">
        <v>69</v>
      </c>
    </row>
    <row r="39" spans="1:9">
      <c r="A39" s="4" t="s">
        <v>51</v>
      </c>
      <c r="B39" t="s">
        <v>68</v>
      </c>
      <c r="C39" t="s">
        <v>68</v>
      </c>
      <c r="D39" t="s">
        <v>68</v>
      </c>
      <c r="E39" t="s">
        <v>69</v>
      </c>
      <c r="F39" t="s">
        <v>70</v>
      </c>
      <c r="G39" t="s">
        <v>70</v>
      </c>
      <c r="H39" t="s">
        <v>70</v>
      </c>
    </row>
    <row r="40" spans="1:9">
      <c r="A40" s="4" t="s">
        <v>52</v>
      </c>
      <c r="B40" t="s">
        <v>68</v>
      </c>
      <c r="C40" t="s">
        <v>68</v>
      </c>
      <c r="D40" t="s">
        <v>68</v>
      </c>
      <c r="E40" t="s">
        <v>68</v>
      </c>
      <c r="F40" t="s">
        <v>69</v>
      </c>
      <c r="G40" t="s">
        <v>69</v>
      </c>
      <c r="H40" t="s">
        <v>70</v>
      </c>
    </row>
    <row r="41" spans="1:9">
      <c r="A41" s="4" t="s">
        <v>53</v>
      </c>
      <c r="B41" t="s">
        <v>68</v>
      </c>
      <c r="C41" t="s">
        <v>68</v>
      </c>
      <c r="D41" t="s">
        <v>68</v>
      </c>
      <c r="E41" t="s">
        <v>68</v>
      </c>
      <c r="F41" t="s">
        <v>69</v>
      </c>
      <c r="G41" t="s">
        <v>70</v>
      </c>
      <c r="H41" t="s">
        <v>70</v>
      </c>
    </row>
    <row r="42" spans="1:9">
      <c r="A42" s="4" t="s">
        <v>54</v>
      </c>
      <c r="B42" t="s">
        <v>68</v>
      </c>
      <c r="C42" t="s">
        <v>68</v>
      </c>
      <c r="D42" t="s">
        <v>68</v>
      </c>
      <c r="E42" t="s">
        <v>69</v>
      </c>
      <c r="F42" t="s">
        <v>69</v>
      </c>
      <c r="G42" t="s">
        <v>69</v>
      </c>
      <c r="H42" t="s">
        <v>69</v>
      </c>
    </row>
    <row r="43" spans="1:9">
      <c r="A43" s="4" t="s">
        <v>55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</row>
    <row r="44" spans="1:9">
      <c r="A44" s="4" t="s">
        <v>57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69</v>
      </c>
      <c r="H44" t="s">
        <v>69</v>
      </c>
    </row>
    <row r="45" spans="1:9">
      <c r="A45" s="4" t="s">
        <v>58</v>
      </c>
      <c r="B45" t="s">
        <v>68</v>
      </c>
      <c r="C45" t="s">
        <v>68</v>
      </c>
      <c r="D45" t="s">
        <v>68</v>
      </c>
      <c r="E45" t="s">
        <v>68</v>
      </c>
      <c r="F45" t="s">
        <v>68</v>
      </c>
      <c r="G45" t="s">
        <v>68</v>
      </c>
      <c r="H45" t="s">
        <v>68</v>
      </c>
    </row>
    <row r="46" spans="1:9">
      <c r="A46" s="4" t="s">
        <v>59</v>
      </c>
      <c r="B46" t="s">
        <v>68</v>
      </c>
      <c r="C46" t="s">
        <v>68</v>
      </c>
      <c r="D46" t="s">
        <v>68</v>
      </c>
      <c r="E46" t="s">
        <v>69</v>
      </c>
      <c r="F46" t="s">
        <v>69</v>
      </c>
      <c r="G46" t="s">
        <v>73</v>
      </c>
      <c r="H46" t="s">
        <v>73</v>
      </c>
    </row>
    <row r="47" spans="1:9">
      <c r="A47" s="4" t="s">
        <v>60</v>
      </c>
      <c r="B47" t="s">
        <v>68</v>
      </c>
      <c r="C47" t="s">
        <v>68</v>
      </c>
      <c r="D47" t="s">
        <v>68</v>
      </c>
      <c r="E47" t="s">
        <v>68</v>
      </c>
      <c r="F47" t="s">
        <v>69</v>
      </c>
      <c r="G47" t="s">
        <v>72</v>
      </c>
      <c r="H47" t="s">
        <v>72</v>
      </c>
    </row>
    <row r="48" spans="1:9">
      <c r="A48" s="4" t="s">
        <v>61</v>
      </c>
      <c r="B48" t="s">
        <v>68</v>
      </c>
      <c r="C48" t="s">
        <v>68</v>
      </c>
      <c r="D48" t="s">
        <v>68</v>
      </c>
      <c r="E48" t="s">
        <v>68</v>
      </c>
      <c r="F48" t="s">
        <v>69</v>
      </c>
      <c r="G48" t="s">
        <v>70</v>
      </c>
      <c r="H48" t="s">
        <v>72</v>
      </c>
    </row>
    <row r="49" spans="1:9">
      <c r="A49" s="4" t="s">
        <v>62</v>
      </c>
      <c r="B49" t="s">
        <v>68</v>
      </c>
      <c r="C49" t="s">
        <v>68</v>
      </c>
      <c r="D49" t="s">
        <v>69</v>
      </c>
      <c r="E49" t="s">
        <v>69</v>
      </c>
      <c r="F49" t="s">
        <v>69</v>
      </c>
      <c r="G49" t="s">
        <v>72</v>
      </c>
      <c r="H49" t="s">
        <v>72</v>
      </c>
    </row>
    <row r="50" spans="1:9">
      <c r="A50" s="4" t="s">
        <v>63</v>
      </c>
      <c r="B50" t="s">
        <v>68</v>
      </c>
      <c r="C50" t="s">
        <v>68</v>
      </c>
      <c r="D50" t="s">
        <v>68</v>
      </c>
      <c r="E50" t="s">
        <v>68</v>
      </c>
      <c r="F50" t="s">
        <v>69</v>
      </c>
      <c r="G50" t="s">
        <v>69</v>
      </c>
      <c r="H50" t="s">
        <v>69</v>
      </c>
      <c r="I50" t="s">
        <v>79</v>
      </c>
    </row>
    <row r="51" spans="1:9">
      <c r="A51" s="4" t="s">
        <v>65</v>
      </c>
      <c r="B51" t="s">
        <v>71</v>
      </c>
      <c r="C51" t="s">
        <v>71</v>
      </c>
      <c r="D51" t="s">
        <v>71</v>
      </c>
      <c r="E51" t="s">
        <v>71</v>
      </c>
      <c r="F51" t="s">
        <v>71</v>
      </c>
      <c r="G51" t="s">
        <v>73</v>
      </c>
      <c r="H51" t="s">
        <v>73</v>
      </c>
    </row>
    <row r="52" spans="1:9">
      <c r="A52" s="4" t="s">
        <v>66</v>
      </c>
      <c r="B52" t="s">
        <v>71</v>
      </c>
      <c r="C52" t="s">
        <v>71</v>
      </c>
      <c r="D52" t="s">
        <v>71</v>
      </c>
      <c r="E52" t="s">
        <v>71</v>
      </c>
      <c r="F52" t="s">
        <v>71</v>
      </c>
      <c r="G52" t="s">
        <v>71</v>
      </c>
      <c r="H52" t="s">
        <v>71</v>
      </c>
    </row>
  </sheetData>
  <mergeCells count="1">
    <mergeCell ref="M2:AD2"/>
  </mergeCells>
  <conditionalFormatting sqref="B1:H35 B37:H1048576">
    <cfRule type="cellIs" dxfId="17" priority="7" operator="equal">
      <formula>"ζ"</formula>
    </cfRule>
    <cfRule type="cellIs" dxfId="16" priority="8" operator="equal">
      <formula>"ε"</formula>
    </cfRule>
    <cfRule type="cellIs" dxfId="15" priority="9" operator="equal">
      <formula>"δ"</formula>
    </cfRule>
    <cfRule type="cellIs" dxfId="14" priority="10" operator="equal">
      <formula>"γ"</formula>
    </cfRule>
    <cfRule type="cellIs" dxfId="13" priority="11" operator="equal">
      <formula>"β"</formula>
    </cfRule>
    <cfRule type="cellIs" dxfId="12" priority="12" operator="equal">
      <formula>"α"</formula>
    </cfRule>
  </conditionalFormatting>
  <conditionalFormatting sqref="B36:I36">
    <cfRule type="cellIs" dxfId="11" priority="1" operator="equal">
      <formula>"ζ"</formula>
    </cfRule>
    <cfRule type="cellIs" dxfId="10" priority="2" operator="equal">
      <formula>"ε"</formula>
    </cfRule>
    <cfRule type="cellIs" dxfId="9" priority="3" operator="equal">
      <formula>"δ"</formula>
    </cfRule>
    <cfRule type="cellIs" dxfId="8" priority="4" operator="equal">
      <formula>"γ"</formula>
    </cfRule>
    <cfRule type="cellIs" dxfId="7" priority="5" operator="equal">
      <formula>"β"</formula>
    </cfRule>
    <cfRule type="cellIs" dxfId="6" priority="6" operator="equal">
      <formula>"α"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45B2-2870-4307-A7EF-102D908A04B2}">
  <dimension ref="A1:AC52"/>
  <sheetViews>
    <sheetView topLeftCell="A3" workbookViewId="0">
      <selection activeCell="I37" sqref="I37"/>
    </sheetView>
  </sheetViews>
  <sheetFormatPr defaultRowHeight="14.45"/>
  <cols>
    <col min="1" max="1" width="14.5703125" customWidth="1"/>
    <col min="13" max="13" width="35" bestFit="1" customWidth="1"/>
  </cols>
  <sheetData>
    <row r="1" spans="1:29" ht="15" thickBot="1">
      <c r="A1" s="1" t="s">
        <v>0</v>
      </c>
      <c r="B1" s="2">
        <v>2000</v>
      </c>
      <c r="C1" s="3">
        <v>2004</v>
      </c>
      <c r="D1" s="2">
        <v>2008</v>
      </c>
      <c r="E1" s="3">
        <v>2012</v>
      </c>
      <c r="F1" s="2">
        <v>2016</v>
      </c>
      <c r="G1" s="3">
        <v>2020</v>
      </c>
      <c r="H1" s="2">
        <v>2024</v>
      </c>
    </row>
    <row r="2" spans="1:29">
      <c r="A2" s="4" t="s">
        <v>2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L2" s="12" t="s">
        <v>3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/>
    </row>
    <row r="3" spans="1:29">
      <c r="A3" s="4" t="s">
        <v>4</v>
      </c>
      <c r="B3">
        <v>1</v>
      </c>
      <c r="C3">
        <v>1</v>
      </c>
      <c r="D3">
        <v>1</v>
      </c>
      <c r="E3">
        <v>1</v>
      </c>
      <c r="F3">
        <v>2</v>
      </c>
      <c r="G3">
        <v>5</v>
      </c>
      <c r="H3">
        <v>5</v>
      </c>
      <c r="L3">
        <v>1</v>
      </c>
      <c r="M3" t="s">
        <v>5</v>
      </c>
    </row>
    <row r="4" spans="1:29">
      <c r="A4" s="4" t="s">
        <v>6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L4">
        <v>2</v>
      </c>
      <c r="M4" t="s">
        <v>7</v>
      </c>
    </row>
    <row r="5" spans="1:29">
      <c r="A5" s="4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L5" s="7">
        <v>3</v>
      </c>
      <c r="M5" s="7" t="s">
        <v>80</v>
      </c>
    </row>
    <row r="6" spans="1:29">
      <c r="A6" s="4" t="s">
        <v>10</v>
      </c>
      <c r="B6">
        <v>1</v>
      </c>
      <c r="C6">
        <v>1</v>
      </c>
      <c r="D6">
        <v>1</v>
      </c>
      <c r="E6">
        <v>2</v>
      </c>
      <c r="F6">
        <v>2</v>
      </c>
      <c r="G6">
        <v>8</v>
      </c>
      <c r="H6">
        <v>8</v>
      </c>
      <c r="L6">
        <v>4</v>
      </c>
      <c r="M6" t="s">
        <v>9</v>
      </c>
    </row>
    <row r="7" spans="1:29">
      <c r="A7" s="4" t="s">
        <v>12</v>
      </c>
      <c r="B7">
        <v>1</v>
      </c>
      <c r="C7">
        <v>1</v>
      </c>
      <c r="D7">
        <v>1</v>
      </c>
      <c r="E7">
        <v>2</v>
      </c>
      <c r="F7">
        <v>6</v>
      </c>
      <c r="G7">
        <v>8</v>
      </c>
      <c r="H7">
        <v>8</v>
      </c>
      <c r="L7">
        <v>5</v>
      </c>
      <c r="M7" t="s">
        <v>11</v>
      </c>
    </row>
    <row r="8" spans="1:29">
      <c r="A8" s="4" t="s">
        <v>14</v>
      </c>
      <c r="B8">
        <v>1</v>
      </c>
      <c r="C8">
        <v>1</v>
      </c>
      <c r="D8">
        <v>1</v>
      </c>
      <c r="E8">
        <v>1</v>
      </c>
      <c r="F8">
        <v>8</v>
      </c>
      <c r="G8">
        <v>8</v>
      </c>
      <c r="H8">
        <v>8</v>
      </c>
      <c r="L8">
        <v>6</v>
      </c>
      <c r="M8" t="s">
        <v>13</v>
      </c>
    </row>
    <row r="9" spans="1:29">
      <c r="A9" s="4" t="s">
        <v>17</v>
      </c>
      <c r="B9">
        <v>1</v>
      </c>
      <c r="C9">
        <v>1</v>
      </c>
      <c r="D9">
        <v>1</v>
      </c>
      <c r="E9">
        <v>4</v>
      </c>
      <c r="F9">
        <v>6</v>
      </c>
      <c r="G9">
        <v>8</v>
      </c>
      <c r="H9">
        <v>8</v>
      </c>
      <c r="L9" s="7">
        <v>7</v>
      </c>
      <c r="M9" s="7" t="s">
        <v>81</v>
      </c>
    </row>
    <row r="10" spans="1:29">
      <c r="A10" s="5" t="s">
        <v>18</v>
      </c>
      <c r="B10">
        <v>1</v>
      </c>
      <c r="C10">
        <v>1</v>
      </c>
      <c r="D10">
        <v>1</v>
      </c>
      <c r="E10">
        <v>1</v>
      </c>
      <c r="F10">
        <v>2</v>
      </c>
      <c r="G10">
        <v>2</v>
      </c>
      <c r="H10">
        <v>5</v>
      </c>
      <c r="L10">
        <v>8</v>
      </c>
      <c r="M10" t="s">
        <v>16</v>
      </c>
    </row>
    <row r="11" spans="1:29">
      <c r="A11" s="4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</row>
    <row r="12" spans="1:29">
      <c r="A12" s="4" t="s">
        <v>20</v>
      </c>
      <c r="B12">
        <v>1</v>
      </c>
      <c r="C12">
        <v>1</v>
      </c>
      <c r="D12">
        <v>1</v>
      </c>
      <c r="E12">
        <v>1</v>
      </c>
      <c r="F12">
        <v>5</v>
      </c>
      <c r="G12">
        <v>5</v>
      </c>
      <c r="H12">
        <v>5</v>
      </c>
    </row>
    <row r="13" spans="1:29">
      <c r="A13" s="4" t="s">
        <v>21</v>
      </c>
      <c r="B13">
        <v>1</v>
      </c>
      <c r="C13">
        <v>1</v>
      </c>
      <c r="D13">
        <v>1</v>
      </c>
      <c r="E13">
        <v>1</v>
      </c>
      <c r="F13">
        <v>6</v>
      </c>
      <c r="G13">
        <v>6</v>
      </c>
      <c r="H13">
        <v>8</v>
      </c>
    </row>
    <row r="14" spans="1:29">
      <c r="A14" s="4" t="s">
        <v>23</v>
      </c>
      <c r="B14">
        <v>4</v>
      </c>
      <c r="C14">
        <v>4</v>
      </c>
      <c r="D14">
        <v>4</v>
      </c>
      <c r="E14">
        <v>4</v>
      </c>
      <c r="F14">
        <v>4</v>
      </c>
      <c r="G14">
        <v>6</v>
      </c>
      <c r="H14">
        <v>6</v>
      </c>
    </row>
    <row r="15" spans="1:29">
      <c r="A15" s="4" t="s">
        <v>24</v>
      </c>
      <c r="B15">
        <v>1</v>
      </c>
      <c r="C15">
        <v>1</v>
      </c>
      <c r="D15">
        <v>4</v>
      </c>
      <c r="E15">
        <v>4</v>
      </c>
      <c r="F15">
        <v>6</v>
      </c>
      <c r="G15">
        <v>8</v>
      </c>
      <c r="H15">
        <v>8</v>
      </c>
    </row>
    <row r="16" spans="1:29">
      <c r="A16" s="4" t="s">
        <v>25</v>
      </c>
      <c r="B16">
        <v>1</v>
      </c>
      <c r="C16">
        <v>1</v>
      </c>
      <c r="D16">
        <v>1</v>
      </c>
      <c r="E16">
        <v>2</v>
      </c>
      <c r="F16">
        <v>2</v>
      </c>
      <c r="G16">
        <v>2</v>
      </c>
      <c r="H16">
        <v>2</v>
      </c>
    </row>
    <row r="17" spans="1:8">
      <c r="A17" s="4" t="s">
        <v>26</v>
      </c>
      <c r="B17">
        <v>1</v>
      </c>
      <c r="C17">
        <v>1</v>
      </c>
      <c r="D17">
        <v>4</v>
      </c>
      <c r="E17">
        <v>4</v>
      </c>
      <c r="F17">
        <v>6</v>
      </c>
      <c r="G17">
        <v>6</v>
      </c>
      <c r="H17">
        <v>6</v>
      </c>
    </row>
    <row r="18" spans="1:8">
      <c r="A18" s="4" t="s">
        <v>27</v>
      </c>
      <c r="B18">
        <v>1</v>
      </c>
      <c r="C18">
        <v>1</v>
      </c>
      <c r="D18">
        <v>1</v>
      </c>
      <c r="E18">
        <v>2</v>
      </c>
      <c r="F18">
        <v>2</v>
      </c>
      <c r="G18">
        <v>2</v>
      </c>
      <c r="H18">
        <v>2</v>
      </c>
    </row>
    <row r="19" spans="1:8">
      <c r="A19" s="4" t="s">
        <v>28</v>
      </c>
      <c r="B19">
        <v>1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</row>
    <row r="20" spans="1:8">
      <c r="A20" s="4" t="s">
        <v>29</v>
      </c>
      <c r="B20">
        <v>1</v>
      </c>
      <c r="C20">
        <v>1</v>
      </c>
      <c r="D20">
        <v>1</v>
      </c>
      <c r="E20">
        <v>2</v>
      </c>
      <c r="F20">
        <v>2</v>
      </c>
      <c r="G20">
        <v>2</v>
      </c>
      <c r="H20">
        <v>2</v>
      </c>
    </row>
    <row r="21" spans="1:8">
      <c r="A21" s="4" t="s">
        <v>30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8</v>
      </c>
    </row>
    <row r="22" spans="1:8">
      <c r="A22" s="4" t="s">
        <v>31</v>
      </c>
      <c r="B22">
        <v>1</v>
      </c>
      <c r="C22">
        <v>1</v>
      </c>
      <c r="D22">
        <v>1</v>
      </c>
      <c r="E22">
        <v>2</v>
      </c>
      <c r="F22">
        <v>6</v>
      </c>
      <c r="G22">
        <v>8</v>
      </c>
      <c r="H22">
        <v>8</v>
      </c>
    </row>
    <row r="23" spans="1:8">
      <c r="A23" s="4" t="s">
        <v>33</v>
      </c>
      <c r="B23">
        <v>1</v>
      </c>
      <c r="C23">
        <v>1</v>
      </c>
      <c r="D23">
        <v>1</v>
      </c>
      <c r="E23">
        <v>1</v>
      </c>
      <c r="F23">
        <v>2</v>
      </c>
      <c r="G23">
        <v>5</v>
      </c>
      <c r="H23">
        <v>5</v>
      </c>
    </row>
    <row r="24" spans="1:8">
      <c r="A24" s="4" t="s">
        <v>35</v>
      </c>
      <c r="B24">
        <v>1</v>
      </c>
      <c r="C24">
        <v>1</v>
      </c>
      <c r="D24">
        <v>1</v>
      </c>
      <c r="E24">
        <v>1</v>
      </c>
      <c r="F24">
        <v>1</v>
      </c>
      <c r="G24">
        <v>8</v>
      </c>
      <c r="H24">
        <v>8</v>
      </c>
    </row>
    <row r="25" spans="1:8">
      <c r="A25" s="4" t="s">
        <v>36</v>
      </c>
      <c r="B25">
        <v>4</v>
      </c>
      <c r="C25">
        <v>4</v>
      </c>
      <c r="D25">
        <v>4</v>
      </c>
      <c r="E25">
        <v>4</v>
      </c>
      <c r="F25">
        <v>6</v>
      </c>
      <c r="G25">
        <v>6</v>
      </c>
      <c r="H25">
        <v>8</v>
      </c>
    </row>
    <row r="26" spans="1:8">
      <c r="A26" s="4" t="s">
        <v>37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</row>
    <row r="27" spans="1:8">
      <c r="A27" s="4" t="s">
        <v>38</v>
      </c>
      <c r="B27">
        <v>1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</row>
    <row r="28" spans="1:8">
      <c r="A28" s="4" t="s">
        <v>39</v>
      </c>
      <c r="B28">
        <v>1</v>
      </c>
      <c r="C28">
        <v>1</v>
      </c>
      <c r="D28">
        <v>4</v>
      </c>
      <c r="E28">
        <v>4</v>
      </c>
      <c r="F28">
        <v>4</v>
      </c>
      <c r="G28">
        <v>4</v>
      </c>
      <c r="H28">
        <v>4</v>
      </c>
    </row>
    <row r="29" spans="1:8">
      <c r="A29" s="4" t="s">
        <v>40</v>
      </c>
      <c r="B29">
        <v>1</v>
      </c>
      <c r="C29">
        <v>1</v>
      </c>
      <c r="D29">
        <v>1</v>
      </c>
      <c r="E29">
        <v>1</v>
      </c>
      <c r="F29">
        <v>6</v>
      </c>
      <c r="G29">
        <v>6</v>
      </c>
      <c r="H29">
        <v>6</v>
      </c>
    </row>
    <row r="30" spans="1:8">
      <c r="A30" s="4" t="s">
        <v>41</v>
      </c>
      <c r="B30">
        <v>1</v>
      </c>
      <c r="C30">
        <v>1</v>
      </c>
      <c r="D30">
        <v>1</v>
      </c>
      <c r="E30">
        <v>2</v>
      </c>
      <c r="F30">
        <v>2</v>
      </c>
      <c r="G30">
        <v>8</v>
      </c>
      <c r="H30">
        <v>8</v>
      </c>
    </row>
    <row r="31" spans="1:8">
      <c r="A31" s="4" t="s">
        <v>42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</row>
    <row r="32" spans="1:8">
      <c r="A32" s="4" t="s">
        <v>43</v>
      </c>
      <c r="B32">
        <v>1</v>
      </c>
      <c r="C32">
        <v>1</v>
      </c>
      <c r="D32">
        <v>1</v>
      </c>
      <c r="E32">
        <v>1</v>
      </c>
      <c r="F32">
        <v>1</v>
      </c>
      <c r="G32">
        <v>5</v>
      </c>
      <c r="H32">
        <v>5</v>
      </c>
    </row>
    <row r="33" spans="1:8">
      <c r="A33" s="4" t="s">
        <v>44</v>
      </c>
      <c r="B33">
        <v>1</v>
      </c>
      <c r="C33">
        <v>1</v>
      </c>
      <c r="D33">
        <v>1</v>
      </c>
      <c r="E33">
        <v>1</v>
      </c>
      <c r="F33">
        <v>2</v>
      </c>
      <c r="G33">
        <v>6</v>
      </c>
      <c r="H33">
        <v>8</v>
      </c>
    </row>
    <row r="34" spans="1:8">
      <c r="A34" s="4" t="s">
        <v>46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4</v>
      </c>
    </row>
    <row r="35" spans="1:8">
      <c r="A35" s="4" t="s">
        <v>47</v>
      </c>
      <c r="B35">
        <v>1</v>
      </c>
      <c r="C35">
        <v>1</v>
      </c>
      <c r="D35">
        <v>4</v>
      </c>
      <c r="E35">
        <v>4</v>
      </c>
      <c r="F35">
        <v>4</v>
      </c>
      <c r="G35">
        <v>6</v>
      </c>
      <c r="H35">
        <v>6</v>
      </c>
    </row>
    <row r="36" spans="1:8">
      <c r="A36" s="4" t="s">
        <v>48</v>
      </c>
      <c r="B36" s="6">
        <v>4</v>
      </c>
      <c r="C36" s="6">
        <v>4</v>
      </c>
      <c r="D36" s="6">
        <v>4</v>
      </c>
      <c r="E36" s="6">
        <v>4</v>
      </c>
      <c r="F36" s="6">
        <v>4</v>
      </c>
      <c r="G36" s="6">
        <v>4</v>
      </c>
      <c r="H36" s="6">
        <v>4</v>
      </c>
    </row>
    <row r="37" spans="1:8">
      <c r="A37" s="4" t="s">
        <v>49</v>
      </c>
      <c r="B37">
        <v>1</v>
      </c>
      <c r="C37">
        <v>1</v>
      </c>
      <c r="D37">
        <v>4</v>
      </c>
      <c r="E37">
        <v>4</v>
      </c>
      <c r="F37">
        <v>1</v>
      </c>
      <c r="G37">
        <v>2</v>
      </c>
      <c r="H37">
        <v>2</v>
      </c>
    </row>
    <row r="38" spans="1:8">
      <c r="A38" s="4" t="s">
        <v>50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2</v>
      </c>
    </row>
    <row r="39" spans="1:8">
      <c r="A39" s="4" t="s">
        <v>51</v>
      </c>
      <c r="B39">
        <v>1</v>
      </c>
      <c r="C39">
        <v>1</v>
      </c>
      <c r="D39">
        <v>1</v>
      </c>
      <c r="E39">
        <v>2</v>
      </c>
      <c r="F39">
        <v>5</v>
      </c>
      <c r="G39">
        <v>5</v>
      </c>
      <c r="H39">
        <v>5</v>
      </c>
    </row>
    <row r="40" spans="1:8">
      <c r="A40" s="4" t="s">
        <v>52</v>
      </c>
      <c r="B40">
        <v>1</v>
      </c>
      <c r="C40">
        <v>1</v>
      </c>
      <c r="D40">
        <v>1</v>
      </c>
      <c r="E40">
        <v>1</v>
      </c>
      <c r="F40">
        <v>2</v>
      </c>
      <c r="G40">
        <v>2</v>
      </c>
      <c r="H40">
        <v>5</v>
      </c>
    </row>
    <row r="41" spans="1:8">
      <c r="A41" s="4" t="s">
        <v>53</v>
      </c>
      <c r="B41">
        <v>1</v>
      </c>
      <c r="C41">
        <v>1</v>
      </c>
      <c r="D41">
        <v>1</v>
      </c>
      <c r="E41">
        <v>1</v>
      </c>
      <c r="F41">
        <v>2</v>
      </c>
      <c r="G41">
        <v>5</v>
      </c>
      <c r="H41">
        <v>5</v>
      </c>
    </row>
    <row r="42" spans="1:8">
      <c r="A42" s="4" t="s">
        <v>54</v>
      </c>
      <c r="B42">
        <v>1</v>
      </c>
      <c r="C42">
        <v>1</v>
      </c>
      <c r="D42">
        <v>1</v>
      </c>
      <c r="E42">
        <v>2</v>
      </c>
      <c r="F42">
        <v>2</v>
      </c>
      <c r="G42">
        <v>2</v>
      </c>
      <c r="H42">
        <v>2</v>
      </c>
    </row>
    <row r="43" spans="1:8">
      <c r="A43" s="4" t="s">
        <v>55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1:8">
      <c r="A44" s="4" t="s">
        <v>57</v>
      </c>
      <c r="B44">
        <v>1</v>
      </c>
      <c r="C44">
        <v>1</v>
      </c>
      <c r="D44">
        <v>1</v>
      </c>
      <c r="E44">
        <v>1</v>
      </c>
      <c r="F44">
        <v>1</v>
      </c>
      <c r="G44">
        <v>2</v>
      </c>
      <c r="H44">
        <v>2</v>
      </c>
    </row>
    <row r="45" spans="1:8">
      <c r="A45" s="4" t="s">
        <v>58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1:8">
      <c r="A46" s="4" t="s">
        <v>59</v>
      </c>
      <c r="B46">
        <v>1</v>
      </c>
      <c r="C46">
        <v>1</v>
      </c>
      <c r="D46">
        <v>1</v>
      </c>
      <c r="E46">
        <v>2</v>
      </c>
      <c r="F46">
        <v>2</v>
      </c>
      <c r="G46">
        <v>6</v>
      </c>
      <c r="H46">
        <v>6</v>
      </c>
    </row>
    <row r="47" spans="1:8">
      <c r="A47" s="4" t="s">
        <v>60</v>
      </c>
      <c r="B47">
        <v>1</v>
      </c>
      <c r="C47">
        <v>1</v>
      </c>
      <c r="D47">
        <v>1</v>
      </c>
      <c r="E47">
        <v>1</v>
      </c>
      <c r="F47">
        <v>2</v>
      </c>
      <c r="G47">
        <v>8</v>
      </c>
      <c r="H47">
        <v>8</v>
      </c>
    </row>
    <row r="48" spans="1:8">
      <c r="A48" s="4" t="s">
        <v>61</v>
      </c>
      <c r="B48">
        <v>1</v>
      </c>
      <c r="C48">
        <v>1</v>
      </c>
      <c r="D48">
        <v>1</v>
      </c>
      <c r="E48">
        <v>1</v>
      </c>
      <c r="F48">
        <v>2</v>
      </c>
      <c r="G48">
        <v>5</v>
      </c>
      <c r="H48">
        <v>8</v>
      </c>
    </row>
    <row r="49" spans="1:8">
      <c r="A49" s="4" t="s">
        <v>62</v>
      </c>
      <c r="B49">
        <v>1</v>
      </c>
      <c r="C49">
        <v>1</v>
      </c>
      <c r="D49">
        <v>2</v>
      </c>
      <c r="E49">
        <v>2</v>
      </c>
      <c r="F49">
        <v>2</v>
      </c>
      <c r="G49">
        <v>8</v>
      </c>
      <c r="H49">
        <v>8</v>
      </c>
    </row>
    <row r="50" spans="1:8">
      <c r="A50" s="4" t="s">
        <v>63</v>
      </c>
      <c r="B50">
        <v>1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</row>
    <row r="51" spans="1:8">
      <c r="A51" s="4" t="s">
        <v>65</v>
      </c>
      <c r="B51">
        <v>4</v>
      </c>
      <c r="C51">
        <v>4</v>
      </c>
      <c r="D51">
        <v>4</v>
      </c>
      <c r="E51">
        <v>4</v>
      </c>
      <c r="F51">
        <v>4</v>
      </c>
      <c r="G51">
        <v>6</v>
      </c>
      <c r="H51">
        <v>6</v>
      </c>
    </row>
    <row r="52" spans="1:8">
      <c r="A52" s="4" t="s">
        <v>66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</row>
  </sheetData>
  <mergeCells count="1">
    <mergeCell ref="L2:AC2"/>
  </mergeCells>
  <conditionalFormatting sqref="B1:H1048576">
    <cfRule type="cellIs" dxfId="5" priority="1" operator="equal">
      <formula>8</formula>
    </cfRule>
    <cfRule type="cellIs" dxfId="4" priority="2" operator="equal">
      <formula>6</formula>
    </cfRule>
    <cfRule type="cellIs" dxfId="3" priority="3" operator="equal">
      <formula>5</formula>
    </cfRule>
    <cfRule type="cellIs" dxfId="2" priority="4" operator="equal">
      <formula>4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4F0E-95C0-4223-B684-E3D69F9451AF}">
  <dimension ref="A1:F358"/>
  <sheetViews>
    <sheetView workbookViewId="0">
      <selection activeCell="C233" sqref="C233"/>
    </sheetView>
  </sheetViews>
  <sheetFormatPr defaultRowHeight="14.45"/>
  <sheetData>
    <row r="1" spans="1:6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>
      <c r="A2" t="s">
        <v>2</v>
      </c>
      <c r="B2">
        <v>2000</v>
      </c>
      <c r="C2">
        <v>1</v>
      </c>
      <c r="D2">
        <f>VLOOKUP(A2,hex!$A$1:$D$52,2,FALSE)</f>
        <v>6</v>
      </c>
      <c r="E2">
        <f>VLOOKUP(A2,hex!$A$1:$D$52,3,FALSE)</f>
        <v>7.5</v>
      </c>
      <c r="F2" t="str">
        <f>VLOOKUP(A2,hex!$A$1:$D$52,4,FALSE)</f>
        <v>AL</v>
      </c>
    </row>
    <row r="3" spans="1:6">
      <c r="A3" t="s">
        <v>2</v>
      </c>
      <c r="B3">
        <v>2004</v>
      </c>
      <c r="C3">
        <v>1</v>
      </c>
      <c r="D3">
        <f>VLOOKUP(A3,hex!$A$1:$D$52,2,FALSE)</f>
        <v>6</v>
      </c>
      <c r="E3">
        <f>VLOOKUP(A3,hex!$A$1:$D$52,3,FALSE)</f>
        <v>7.5</v>
      </c>
      <c r="F3" t="str">
        <f>VLOOKUP(A3,hex!$A$1:$D$52,4,FALSE)</f>
        <v>AL</v>
      </c>
    </row>
    <row r="4" spans="1:6">
      <c r="A4" t="s">
        <v>2</v>
      </c>
      <c r="B4">
        <v>2008</v>
      </c>
      <c r="C4">
        <v>1</v>
      </c>
      <c r="D4">
        <f>VLOOKUP(A4,hex!$A$1:$D$52,2,FALSE)</f>
        <v>6</v>
      </c>
      <c r="E4">
        <f>VLOOKUP(A4,hex!$A$1:$D$52,3,FALSE)</f>
        <v>7.5</v>
      </c>
      <c r="F4" t="str">
        <f>VLOOKUP(A4,hex!$A$1:$D$52,4,FALSE)</f>
        <v>AL</v>
      </c>
    </row>
    <row r="5" spans="1:6">
      <c r="A5" t="s">
        <v>2</v>
      </c>
      <c r="B5">
        <v>2012</v>
      </c>
      <c r="C5">
        <v>1</v>
      </c>
      <c r="D5">
        <f>VLOOKUP(A5,hex!$A$1:$D$52,2,FALSE)</f>
        <v>6</v>
      </c>
      <c r="E5">
        <f>VLOOKUP(A5,hex!$A$1:$D$52,3,FALSE)</f>
        <v>7.5</v>
      </c>
      <c r="F5" t="str">
        <f>VLOOKUP(A5,hex!$A$1:$D$52,4,FALSE)</f>
        <v>AL</v>
      </c>
    </row>
    <row r="6" spans="1:6">
      <c r="A6" t="s">
        <v>2</v>
      </c>
      <c r="B6">
        <v>2016</v>
      </c>
      <c r="C6">
        <v>2</v>
      </c>
      <c r="D6">
        <f>VLOOKUP(A6,hex!$A$1:$D$52,2,FALSE)</f>
        <v>6</v>
      </c>
      <c r="E6">
        <f>VLOOKUP(A6,hex!$A$1:$D$52,3,FALSE)</f>
        <v>7.5</v>
      </c>
      <c r="F6" t="str">
        <f>VLOOKUP(A6,hex!$A$1:$D$52,4,FALSE)</f>
        <v>AL</v>
      </c>
    </row>
    <row r="7" spans="1:6">
      <c r="A7" t="s">
        <v>2</v>
      </c>
      <c r="B7">
        <v>2020</v>
      </c>
      <c r="C7">
        <v>2</v>
      </c>
      <c r="D7">
        <f>VLOOKUP(A7,hex!$A$1:$D$52,2,FALSE)</f>
        <v>6</v>
      </c>
      <c r="E7">
        <f>VLOOKUP(A7,hex!$A$1:$D$52,3,FALSE)</f>
        <v>7.5</v>
      </c>
      <c r="F7" t="str">
        <f>VLOOKUP(A7,hex!$A$1:$D$52,4,FALSE)</f>
        <v>AL</v>
      </c>
    </row>
    <row r="8" spans="1:6">
      <c r="A8" t="s">
        <v>2</v>
      </c>
      <c r="B8">
        <v>2024</v>
      </c>
      <c r="C8">
        <v>2</v>
      </c>
      <c r="D8">
        <f>VLOOKUP(A8,hex!$A$1:$D$52,2,FALSE)</f>
        <v>6</v>
      </c>
      <c r="E8">
        <f>VLOOKUP(A8,hex!$A$1:$D$52,3,FALSE)</f>
        <v>7.5</v>
      </c>
      <c r="F8" t="str">
        <f>VLOOKUP(A8,hex!$A$1:$D$52,4,FALSE)</f>
        <v>AL</v>
      </c>
    </row>
    <row r="9" spans="1:6">
      <c r="A9" t="s">
        <v>4</v>
      </c>
      <c r="B9">
        <v>2000</v>
      </c>
      <c r="C9">
        <v>1</v>
      </c>
      <c r="D9">
        <f>VLOOKUP(A9,hex!$A$1:$D$52,2,FALSE)</f>
        <v>0</v>
      </c>
      <c r="E9">
        <f>VLOOKUP(A9,hex!$A$1:$D$52,3,FALSE)</f>
        <v>0.5</v>
      </c>
      <c r="F9" t="str">
        <f>VLOOKUP(A9,hex!$A$1:$D$52,4,FALSE)</f>
        <v>AK</v>
      </c>
    </row>
    <row r="10" spans="1:6">
      <c r="A10" t="s">
        <v>4</v>
      </c>
      <c r="B10">
        <v>2004</v>
      </c>
      <c r="C10">
        <v>1</v>
      </c>
      <c r="D10">
        <f>VLOOKUP(A10,hex!$A$1:$D$52,2,FALSE)</f>
        <v>0</v>
      </c>
      <c r="E10">
        <f>VLOOKUP(A10,hex!$A$1:$D$52,3,FALSE)</f>
        <v>0.5</v>
      </c>
      <c r="F10" t="str">
        <f>VLOOKUP(A10,hex!$A$1:$D$52,4,FALSE)</f>
        <v>AK</v>
      </c>
    </row>
    <row r="11" spans="1:6">
      <c r="A11" t="s">
        <v>4</v>
      </c>
      <c r="B11">
        <v>2008</v>
      </c>
      <c r="C11">
        <v>1</v>
      </c>
      <c r="D11">
        <f>VLOOKUP(A11,hex!$A$1:$D$52,2,FALSE)</f>
        <v>0</v>
      </c>
      <c r="E11">
        <f>VLOOKUP(A11,hex!$A$1:$D$52,3,FALSE)</f>
        <v>0.5</v>
      </c>
      <c r="F11" t="str">
        <f>VLOOKUP(A11,hex!$A$1:$D$52,4,FALSE)</f>
        <v>AK</v>
      </c>
    </row>
    <row r="12" spans="1:6">
      <c r="A12" t="s">
        <v>4</v>
      </c>
      <c r="B12">
        <v>2012</v>
      </c>
      <c r="C12">
        <v>1</v>
      </c>
      <c r="D12">
        <f>VLOOKUP(A12,hex!$A$1:$D$52,2,FALSE)</f>
        <v>0</v>
      </c>
      <c r="E12">
        <f>VLOOKUP(A12,hex!$A$1:$D$52,3,FALSE)</f>
        <v>0.5</v>
      </c>
      <c r="F12" t="str">
        <f>VLOOKUP(A12,hex!$A$1:$D$52,4,FALSE)</f>
        <v>AK</v>
      </c>
    </row>
    <row r="13" spans="1:6">
      <c r="A13" t="s">
        <v>4</v>
      </c>
      <c r="B13">
        <v>2016</v>
      </c>
      <c r="C13">
        <v>2</v>
      </c>
      <c r="D13">
        <f>VLOOKUP(A13,hex!$A$1:$D$52,2,FALSE)</f>
        <v>0</v>
      </c>
      <c r="E13">
        <f>VLOOKUP(A13,hex!$A$1:$D$52,3,FALSE)</f>
        <v>0.5</v>
      </c>
      <c r="F13" t="str">
        <f>VLOOKUP(A13,hex!$A$1:$D$52,4,FALSE)</f>
        <v>AK</v>
      </c>
    </row>
    <row r="14" spans="1:6">
      <c r="A14" t="s">
        <v>4</v>
      </c>
      <c r="B14">
        <v>2020</v>
      </c>
      <c r="C14">
        <v>4</v>
      </c>
      <c r="D14">
        <f>VLOOKUP(A14,hex!$A$1:$D$52,2,FALSE)</f>
        <v>0</v>
      </c>
      <c r="E14">
        <f>VLOOKUP(A14,hex!$A$1:$D$52,3,FALSE)</f>
        <v>0.5</v>
      </c>
      <c r="F14" t="str">
        <f>VLOOKUP(A14,hex!$A$1:$D$52,4,FALSE)</f>
        <v>AK</v>
      </c>
    </row>
    <row r="15" spans="1:6">
      <c r="A15" t="s">
        <v>4</v>
      </c>
      <c r="B15">
        <v>2024</v>
      </c>
      <c r="C15">
        <v>4</v>
      </c>
      <c r="D15">
        <f>VLOOKUP(A15,hex!$A$1:$D$52,2,FALSE)</f>
        <v>0</v>
      </c>
      <c r="E15">
        <f>VLOOKUP(A15,hex!$A$1:$D$52,3,FALSE)</f>
        <v>0.5</v>
      </c>
      <c r="F15" t="str">
        <f>VLOOKUP(A15,hex!$A$1:$D$52,4,FALSE)</f>
        <v>AK</v>
      </c>
    </row>
    <row r="16" spans="1:6">
      <c r="A16" t="s">
        <v>6</v>
      </c>
      <c r="B16">
        <v>2000</v>
      </c>
      <c r="C16">
        <v>1</v>
      </c>
      <c r="D16">
        <f>VLOOKUP(A16,hex!$A$1:$D$52,2,FALSE)</f>
        <v>5</v>
      </c>
      <c r="E16">
        <f>VLOOKUP(A16,hex!$A$1:$D$52,3,FALSE)</f>
        <v>3</v>
      </c>
      <c r="F16" t="str">
        <f>VLOOKUP(A16,hex!$A$1:$D$52,4,FALSE)</f>
        <v>AZ</v>
      </c>
    </row>
    <row r="17" spans="1:6">
      <c r="A17" t="s">
        <v>6</v>
      </c>
      <c r="B17">
        <v>2004</v>
      </c>
      <c r="C17">
        <v>2</v>
      </c>
      <c r="D17">
        <f>VLOOKUP(A17,hex!$A$1:$D$52,2,FALSE)</f>
        <v>5</v>
      </c>
      <c r="E17">
        <f>VLOOKUP(A17,hex!$A$1:$D$52,3,FALSE)</f>
        <v>3</v>
      </c>
      <c r="F17" t="str">
        <f>VLOOKUP(A17,hex!$A$1:$D$52,4,FALSE)</f>
        <v>AZ</v>
      </c>
    </row>
    <row r="18" spans="1:6">
      <c r="A18" t="s">
        <v>6</v>
      </c>
      <c r="B18">
        <v>2008</v>
      </c>
      <c r="C18">
        <v>2</v>
      </c>
      <c r="D18">
        <f>VLOOKUP(A18,hex!$A$1:$D$52,2,FALSE)</f>
        <v>5</v>
      </c>
      <c r="E18">
        <f>VLOOKUP(A18,hex!$A$1:$D$52,3,FALSE)</f>
        <v>3</v>
      </c>
      <c r="F18" t="str">
        <f>VLOOKUP(A18,hex!$A$1:$D$52,4,FALSE)</f>
        <v>AZ</v>
      </c>
    </row>
    <row r="19" spans="1:6">
      <c r="A19" t="s">
        <v>6</v>
      </c>
      <c r="B19">
        <v>2012</v>
      </c>
      <c r="C19">
        <v>2</v>
      </c>
      <c r="D19">
        <f>VLOOKUP(A19,hex!$A$1:$D$52,2,FALSE)</f>
        <v>5</v>
      </c>
      <c r="E19">
        <f>VLOOKUP(A19,hex!$A$1:$D$52,3,FALSE)</f>
        <v>3</v>
      </c>
      <c r="F19" t="str">
        <f>VLOOKUP(A19,hex!$A$1:$D$52,4,FALSE)</f>
        <v>AZ</v>
      </c>
    </row>
    <row r="20" spans="1:6">
      <c r="A20" t="s">
        <v>6</v>
      </c>
      <c r="B20">
        <v>2016</v>
      </c>
      <c r="C20">
        <v>2</v>
      </c>
      <c r="D20">
        <f>VLOOKUP(A20,hex!$A$1:$D$52,2,FALSE)</f>
        <v>5</v>
      </c>
      <c r="E20">
        <f>VLOOKUP(A20,hex!$A$1:$D$52,3,FALSE)</f>
        <v>3</v>
      </c>
      <c r="F20" t="str">
        <f>VLOOKUP(A20,hex!$A$1:$D$52,4,FALSE)</f>
        <v>AZ</v>
      </c>
    </row>
    <row r="21" spans="1:6">
      <c r="A21" t="s">
        <v>6</v>
      </c>
      <c r="B21">
        <v>2020</v>
      </c>
      <c r="C21">
        <v>2</v>
      </c>
      <c r="D21">
        <f>VLOOKUP(A21,hex!$A$1:$D$52,2,FALSE)</f>
        <v>5</v>
      </c>
      <c r="E21">
        <f>VLOOKUP(A21,hex!$A$1:$D$52,3,FALSE)</f>
        <v>3</v>
      </c>
      <c r="F21" t="str">
        <f>VLOOKUP(A21,hex!$A$1:$D$52,4,FALSE)</f>
        <v>AZ</v>
      </c>
    </row>
    <row r="22" spans="1:6">
      <c r="A22" t="s">
        <v>6</v>
      </c>
      <c r="B22">
        <v>2024</v>
      </c>
      <c r="C22">
        <v>2</v>
      </c>
      <c r="D22">
        <f>VLOOKUP(A22,hex!$A$1:$D$52,2,FALSE)</f>
        <v>5</v>
      </c>
      <c r="E22">
        <f>VLOOKUP(A22,hex!$A$1:$D$52,3,FALSE)</f>
        <v>3</v>
      </c>
      <c r="F22" t="str">
        <f>VLOOKUP(A22,hex!$A$1:$D$52,4,FALSE)</f>
        <v>AZ</v>
      </c>
    </row>
    <row r="23" spans="1:6">
      <c r="A23" t="s">
        <v>8</v>
      </c>
      <c r="B23">
        <v>2000</v>
      </c>
      <c r="C23">
        <v>1</v>
      </c>
      <c r="D23">
        <f>VLOOKUP(A23,hex!$A$1:$D$52,2,FALSE)</f>
        <v>5</v>
      </c>
      <c r="E23">
        <f>VLOOKUP(A23,hex!$A$1:$D$52,3,FALSE)</f>
        <v>6</v>
      </c>
      <c r="F23" t="str">
        <f>VLOOKUP(A23,hex!$A$1:$D$52,4,FALSE)</f>
        <v>AR</v>
      </c>
    </row>
    <row r="24" spans="1:6">
      <c r="A24" t="s">
        <v>8</v>
      </c>
      <c r="B24">
        <v>2004</v>
      </c>
      <c r="C24">
        <v>1</v>
      </c>
      <c r="D24">
        <f>VLOOKUP(A24,hex!$A$1:$D$52,2,FALSE)</f>
        <v>5</v>
      </c>
      <c r="E24">
        <f>VLOOKUP(A24,hex!$A$1:$D$52,3,FALSE)</f>
        <v>6</v>
      </c>
      <c r="F24" t="str">
        <f>VLOOKUP(A24,hex!$A$1:$D$52,4,FALSE)</f>
        <v>AR</v>
      </c>
    </row>
    <row r="25" spans="1:6">
      <c r="A25" t="s">
        <v>8</v>
      </c>
      <c r="B25">
        <v>2008</v>
      </c>
      <c r="C25">
        <v>1</v>
      </c>
      <c r="D25">
        <f>VLOOKUP(A25,hex!$A$1:$D$52,2,FALSE)</f>
        <v>5</v>
      </c>
      <c r="E25">
        <f>VLOOKUP(A25,hex!$A$1:$D$52,3,FALSE)</f>
        <v>6</v>
      </c>
      <c r="F25" t="str">
        <f>VLOOKUP(A25,hex!$A$1:$D$52,4,FALSE)</f>
        <v>AR</v>
      </c>
    </row>
    <row r="26" spans="1:6">
      <c r="A26" t="s">
        <v>8</v>
      </c>
      <c r="B26">
        <v>2012</v>
      </c>
      <c r="C26">
        <v>1</v>
      </c>
      <c r="D26">
        <f>VLOOKUP(A26,hex!$A$1:$D$52,2,FALSE)</f>
        <v>5</v>
      </c>
      <c r="E26">
        <f>VLOOKUP(A26,hex!$A$1:$D$52,3,FALSE)</f>
        <v>6</v>
      </c>
      <c r="F26" t="str">
        <f>VLOOKUP(A26,hex!$A$1:$D$52,4,FALSE)</f>
        <v>AR</v>
      </c>
    </row>
    <row r="27" spans="1:6">
      <c r="A27" t="s">
        <v>8</v>
      </c>
      <c r="B27">
        <v>2016</v>
      </c>
      <c r="C27">
        <v>1</v>
      </c>
      <c r="D27">
        <f>VLOOKUP(A27,hex!$A$1:$D$52,2,FALSE)</f>
        <v>5</v>
      </c>
      <c r="E27">
        <f>VLOOKUP(A27,hex!$A$1:$D$52,3,FALSE)</f>
        <v>6</v>
      </c>
      <c r="F27" t="str">
        <f>VLOOKUP(A27,hex!$A$1:$D$52,4,FALSE)</f>
        <v>AR</v>
      </c>
    </row>
    <row r="28" spans="1:6">
      <c r="A28" t="s">
        <v>8</v>
      </c>
      <c r="B28">
        <v>2020</v>
      </c>
      <c r="C28">
        <v>1</v>
      </c>
      <c r="D28">
        <f>VLOOKUP(A28,hex!$A$1:$D$52,2,FALSE)</f>
        <v>5</v>
      </c>
      <c r="E28">
        <f>VLOOKUP(A28,hex!$A$1:$D$52,3,FALSE)</f>
        <v>6</v>
      </c>
      <c r="F28" t="str">
        <f>VLOOKUP(A28,hex!$A$1:$D$52,4,FALSE)</f>
        <v>AR</v>
      </c>
    </row>
    <row r="29" spans="1:6">
      <c r="A29" t="s">
        <v>8</v>
      </c>
      <c r="B29">
        <v>2024</v>
      </c>
      <c r="C29">
        <v>1</v>
      </c>
      <c r="D29">
        <f>VLOOKUP(A29,hex!$A$1:$D$52,2,FALSE)</f>
        <v>5</v>
      </c>
      <c r="E29">
        <f>VLOOKUP(A29,hex!$A$1:$D$52,3,FALSE)</f>
        <v>6</v>
      </c>
      <c r="F29" t="str">
        <f>VLOOKUP(A29,hex!$A$1:$D$52,4,FALSE)</f>
        <v>AR</v>
      </c>
    </row>
    <row r="30" spans="1:6">
      <c r="A30" t="s">
        <v>10</v>
      </c>
      <c r="B30">
        <v>2000</v>
      </c>
      <c r="C30">
        <v>1</v>
      </c>
      <c r="D30">
        <f>VLOOKUP(A30,hex!$A$1:$D$52,2,FALSE)</f>
        <v>5</v>
      </c>
      <c r="E30">
        <f>VLOOKUP(A30,hex!$A$1:$D$52,3,FALSE)</f>
        <v>2</v>
      </c>
      <c r="F30" t="str">
        <f>VLOOKUP(A30,hex!$A$1:$D$52,4,FALSE)</f>
        <v>CA</v>
      </c>
    </row>
    <row r="31" spans="1:6">
      <c r="A31" t="s">
        <v>10</v>
      </c>
      <c r="B31">
        <v>2004</v>
      </c>
      <c r="C31">
        <v>1</v>
      </c>
      <c r="D31">
        <f>VLOOKUP(A31,hex!$A$1:$D$52,2,FALSE)</f>
        <v>5</v>
      </c>
      <c r="E31">
        <f>VLOOKUP(A31,hex!$A$1:$D$52,3,FALSE)</f>
        <v>2</v>
      </c>
      <c r="F31" t="str">
        <f>VLOOKUP(A31,hex!$A$1:$D$52,4,FALSE)</f>
        <v>CA</v>
      </c>
    </row>
    <row r="32" spans="1:6">
      <c r="A32" t="s">
        <v>10</v>
      </c>
      <c r="B32">
        <v>2008</v>
      </c>
      <c r="C32">
        <v>1</v>
      </c>
      <c r="D32">
        <f>VLOOKUP(A32,hex!$A$1:$D$52,2,FALSE)</f>
        <v>5</v>
      </c>
      <c r="E32">
        <f>VLOOKUP(A32,hex!$A$1:$D$52,3,FALSE)</f>
        <v>2</v>
      </c>
      <c r="F32" t="str">
        <f>VLOOKUP(A32,hex!$A$1:$D$52,4,FALSE)</f>
        <v>CA</v>
      </c>
    </row>
    <row r="33" spans="1:6">
      <c r="A33" t="s">
        <v>10</v>
      </c>
      <c r="B33">
        <v>2012</v>
      </c>
      <c r="C33">
        <v>2</v>
      </c>
      <c r="D33">
        <f>VLOOKUP(A33,hex!$A$1:$D$52,2,FALSE)</f>
        <v>5</v>
      </c>
      <c r="E33">
        <f>VLOOKUP(A33,hex!$A$1:$D$52,3,FALSE)</f>
        <v>2</v>
      </c>
      <c r="F33" t="str">
        <f>VLOOKUP(A33,hex!$A$1:$D$52,4,FALSE)</f>
        <v>CA</v>
      </c>
    </row>
    <row r="34" spans="1:6">
      <c r="A34" t="s">
        <v>10</v>
      </c>
      <c r="B34">
        <v>2016</v>
      </c>
      <c r="C34">
        <v>2</v>
      </c>
      <c r="D34">
        <f>VLOOKUP(A34,hex!$A$1:$D$52,2,FALSE)</f>
        <v>5</v>
      </c>
      <c r="E34">
        <f>VLOOKUP(A34,hex!$A$1:$D$52,3,FALSE)</f>
        <v>2</v>
      </c>
      <c r="F34" t="str">
        <f>VLOOKUP(A34,hex!$A$1:$D$52,4,FALSE)</f>
        <v>CA</v>
      </c>
    </row>
    <row r="35" spans="1:6">
      <c r="A35" t="s">
        <v>10</v>
      </c>
      <c r="B35">
        <v>2020</v>
      </c>
      <c r="C35">
        <v>6</v>
      </c>
      <c r="D35">
        <f>VLOOKUP(A35,hex!$A$1:$D$52,2,FALSE)</f>
        <v>5</v>
      </c>
      <c r="E35">
        <f>VLOOKUP(A35,hex!$A$1:$D$52,3,FALSE)</f>
        <v>2</v>
      </c>
      <c r="F35" t="str">
        <f>VLOOKUP(A35,hex!$A$1:$D$52,4,FALSE)</f>
        <v>CA</v>
      </c>
    </row>
    <row r="36" spans="1:6">
      <c r="A36" t="s">
        <v>10</v>
      </c>
      <c r="B36">
        <v>2024</v>
      </c>
      <c r="C36">
        <v>6</v>
      </c>
      <c r="D36">
        <f>VLOOKUP(A36,hex!$A$1:$D$52,2,FALSE)</f>
        <v>5</v>
      </c>
      <c r="E36">
        <f>VLOOKUP(A36,hex!$A$1:$D$52,3,FALSE)</f>
        <v>2</v>
      </c>
      <c r="F36" t="str">
        <f>VLOOKUP(A36,hex!$A$1:$D$52,4,FALSE)</f>
        <v>CA</v>
      </c>
    </row>
    <row r="37" spans="1:6">
      <c r="A37" t="s">
        <v>12</v>
      </c>
      <c r="B37">
        <v>2000</v>
      </c>
      <c r="C37">
        <v>1</v>
      </c>
      <c r="D37">
        <f>VLOOKUP(A37,hex!$A$1:$D$52,2,FALSE)</f>
        <v>4</v>
      </c>
      <c r="E37">
        <f>VLOOKUP(A37,hex!$A$1:$D$52,3,FALSE)</f>
        <v>3.5</v>
      </c>
      <c r="F37" t="str">
        <f>VLOOKUP(A37,hex!$A$1:$D$52,4,FALSE)</f>
        <v>CO</v>
      </c>
    </row>
    <row r="38" spans="1:6">
      <c r="A38" t="s">
        <v>12</v>
      </c>
      <c r="B38">
        <v>2004</v>
      </c>
      <c r="C38">
        <v>1</v>
      </c>
      <c r="D38">
        <f>VLOOKUP(A38,hex!$A$1:$D$52,2,FALSE)</f>
        <v>4</v>
      </c>
      <c r="E38">
        <f>VLOOKUP(A38,hex!$A$1:$D$52,3,FALSE)</f>
        <v>3.5</v>
      </c>
      <c r="F38" t="str">
        <f>VLOOKUP(A38,hex!$A$1:$D$52,4,FALSE)</f>
        <v>CO</v>
      </c>
    </row>
    <row r="39" spans="1:6">
      <c r="A39" t="s">
        <v>12</v>
      </c>
      <c r="B39">
        <v>2008</v>
      </c>
      <c r="C39">
        <v>1</v>
      </c>
      <c r="D39">
        <f>VLOOKUP(A39,hex!$A$1:$D$52,2,FALSE)</f>
        <v>4</v>
      </c>
      <c r="E39">
        <f>VLOOKUP(A39,hex!$A$1:$D$52,3,FALSE)</f>
        <v>3.5</v>
      </c>
      <c r="F39" t="str">
        <f>VLOOKUP(A39,hex!$A$1:$D$52,4,FALSE)</f>
        <v>CO</v>
      </c>
    </row>
    <row r="40" spans="1:6">
      <c r="A40" t="s">
        <v>12</v>
      </c>
      <c r="B40">
        <v>2012</v>
      </c>
      <c r="C40">
        <v>2</v>
      </c>
      <c r="D40">
        <f>VLOOKUP(A40,hex!$A$1:$D$52,2,FALSE)</f>
        <v>4</v>
      </c>
      <c r="E40">
        <f>VLOOKUP(A40,hex!$A$1:$D$52,3,FALSE)</f>
        <v>3.5</v>
      </c>
      <c r="F40" t="str">
        <f>VLOOKUP(A40,hex!$A$1:$D$52,4,FALSE)</f>
        <v>CO</v>
      </c>
    </row>
    <row r="41" spans="1:6">
      <c r="A41" t="s">
        <v>12</v>
      </c>
      <c r="B41">
        <v>2016</v>
      </c>
      <c r="C41">
        <v>5</v>
      </c>
      <c r="D41">
        <f>VLOOKUP(A41,hex!$A$1:$D$52,2,FALSE)</f>
        <v>4</v>
      </c>
      <c r="E41">
        <f>VLOOKUP(A41,hex!$A$1:$D$52,3,FALSE)</f>
        <v>3.5</v>
      </c>
      <c r="F41" t="str">
        <f>VLOOKUP(A41,hex!$A$1:$D$52,4,FALSE)</f>
        <v>CO</v>
      </c>
    </row>
    <row r="42" spans="1:6">
      <c r="A42" t="s">
        <v>12</v>
      </c>
      <c r="B42">
        <v>2020</v>
      </c>
      <c r="C42">
        <v>6</v>
      </c>
      <c r="D42">
        <f>VLOOKUP(A42,hex!$A$1:$D$52,2,FALSE)</f>
        <v>4</v>
      </c>
      <c r="E42">
        <f>VLOOKUP(A42,hex!$A$1:$D$52,3,FALSE)</f>
        <v>3.5</v>
      </c>
      <c r="F42" t="str">
        <f>VLOOKUP(A42,hex!$A$1:$D$52,4,FALSE)</f>
        <v>CO</v>
      </c>
    </row>
    <row r="43" spans="1:6">
      <c r="A43" t="s">
        <v>12</v>
      </c>
      <c r="B43">
        <v>2024</v>
      </c>
      <c r="C43">
        <v>6</v>
      </c>
      <c r="D43">
        <f>VLOOKUP(A43,hex!$A$1:$D$52,2,FALSE)</f>
        <v>4</v>
      </c>
      <c r="E43">
        <f>VLOOKUP(A43,hex!$A$1:$D$52,3,FALSE)</f>
        <v>3.5</v>
      </c>
      <c r="F43" t="str">
        <f>VLOOKUP(A43,hex!$A$1:$D$52,4,FALSE)</f>
        <v>CO</v>
      </c>
    </row>
    <row r="44" spans="1:6">
      <c r="A44" t="s">
        <v>14</v>
      </c>
      <c r="B44">
        <v>2000</v>
      </c>
      <c r="C44">
        <v>1</v>
      </c>
      <c r="D44">
        <f>VLOOKUP(A44,hex!$A$1:$D$52,2,FALSE)</f>
        <v>3</v>
      </c>
      <c r="E44">
        <f>VLOOKUP(A44,hex!$A$1:$D$52,3,FALSE)</f>
        <v>11</v>
      </c>
      <c r="F44" t="str">
        <f>VLOOKUP(A44,hex!$A$1:$D$52,4,FALSE)</f>
        <v>CT</v>
      </c>
    </row>
    <row r="45" spans="1:6">
      <c r="A45" t="s">
        <v>14</v>
      </c>
      <c r="B45">
        <v>2004</v>
      </c>
      <c r="C45">
        <v>1</v>
      </c>
      <c r="D45">
        <f>VLOOKUP(A45,hex!$A$1:$D$52,2,FALSE)</f>
        <v>3</v>
      </c>
      <c r="E45">
        <f>VLOOKUP(A45,hex!$A$1:$D$52,3,FALSE)</f>
        <v>11</v>
      </c>
      <c r="F45" t="str">
        <f>VLOOKUP(A45,hex!$A$1:$D$52,4,FALSE)</f>
        <v>CT</v>
      </c>
    </row>
    <row r="46" spans="1:6">
      <c r="A46" t="s">
        <v>14</v>
      </c>
      <c r="B46">
        <v>2008</v>
      </c>
      <c r="C46">
        <v>1</v>
      </c>
      <c r="D46">
        <f>VLOOKUP(A46,hex!$A$1:$D$52,2,FALSE)</f>
        <v>3</v>
      </c>
      <c r="E46">
        <f>VLOOKUP(A46,hex!$A$1:$D$52,3,FALSE)</f>
        <v>11</v>
      </c>
      <c r="F46" t="str">
        <f>VLOOKUP(A46,hex!$A$1:$D$52,4,FALSE)</f>
        <v>CT</v>
      </c>
    </row>
    <row r="47" spans="1:6">
      <c r="A47" t="s">
        <v>14</v>
      </c>
      <c r="B47">
        <v>2012</v>
      </c>
      <c r="C47">
        <v>1</v>
      </c>
      <c r="D47">
        <f>VLOOKUP(A47,hex!$A$1:$D$52,2,FALSE)</f>
        <v>3</v>
      </c>
      <c r="E47">
        <f>VLOOKUP(A47,hex!$A$1:$D$52,3,FALSE)</f>
        <v>11</v>
      </c>
      <c r="F47" t="str">
        <f>VLOOKUP(A47,hex!$A$1:$D$52,4,FALSE)</f>
        <v>CT</v>
      </c>
    </row>
    <row r="48" spans="1:6">
      <c r="A48" t="s">
        <v>14</v>
      </c>
      <c r="B48">
        <v>2016</v>
      </c>
      <c r="C48">
        <v>6</v>
      </c>
      <c r="D48">
        <f>VLOOKUP(A48,hex!$A$1:$D$52,2,FALSE)</f>
        <v>3</v>
      </c>
      <c r="E48">
        <f>VLOOKUP(A48,hex!$A$1:$D$52,3,FALSE)</f>
        <v>11</v>
      </c>
      <c r="F48" t="str">
        <f>VLOOKUP(A48,hex!$A$1:$D$52,4,FALSE)</f>
        <v>CT</v>
      </c>
    </row>
    <row r="49" spans="1:6">
      <c r="A49" t="s">
        <v>14</v>
      </c>
      <c r="B49">
        <v>2020</v>
      </c>
      <c r="C49">
        <v>6</v>
      </c>
      <c r="D49">
        <f>VLOOKUP(A49,hex!$A$1:$D$52,2,FALSE)</f>
        <v>3</v>
      </c>
      <c r="E49">
        <f>VLOOKUP(A49,hex!$A$1:$D$52,3,FALSE)</f>
        <v>11</v>
      </c>
      <c r="F49" t="str">
        <f>VLOOKUP(A49,hex!$A$1:$D$52,4,FALSE)</f>
        <v>CT</v>
      </c>
    </row>
    <row r="50" spans="1:6">
      <c r="A50" t="s">
        <v>14</v>
      </c>
      <c r="B50">
        <v>2024</v>
      </c>
      <c r="C50">
        <v>6</v>
      </c>
      <c r="D50">
        <f>VLOOKUP(A50,hex!$A$1:$D$52,2,FALSE)</f>
        <v>3</v>
      </c>
      <c r="E50">
        <f>VLOOKUP(A50,hex!$A$1:$D$52,3,FALSE)</f>
        <v>11</v>
      </c>
      <c r="F50" t="str">
        <f>VLOOKUP(A50,hex!$A$1:$D$52,4,FALSE)</f>
        <v>CT</v>
      </c>
    </row>
    <row r="51" spans="1:6">
      <c r="A51" t="s">
        <v>17</v>
      </c>
      <c r="B51">
        <v>2000</v>
      </c>
      <c r="C51">
        <v>1</v>
      </c>
      <c r="D51">
        <f>VLOOKUP(A51,hex!$A$1:$D$52,2,FALSE)</f>
        <v>4</v>
      </c>
      <c r="E51">
        <f>VLOOKUP(A51,hex!$A$1:$D$52,3,FALSE)</f>
        <v>10.5</v>
      </c>
      <c r="F51" t="str">
        <f>VLOOKUP(A51,hex!$A$1:$D$52,4,FALSE)</f>
        <v>DC</v>
      </c>
    </row>
    <row r="52" spans="1:6">
      <c r="A52" t="s">
        <v>17</v>
      </c>
      <c r="B52">
        <v>2004</v>
      </c>
      <c r="C52">
        <v>1</v>
      </c>
      <c r="D52">
        <f>VLOOKUP(A52,hex!$A$1:$D$52,2,FALSE)</f>
        <v>4</v>
      </c>
      <c r="E52">
        <f>VLOOKUP(A52,hex!$A$1:$D$52,3,FALSE)</f>
        <v>10.5</v>
      </c>
      <c r="F52" t="str">
        <f>VLOOKUP(A52,hex!$A$1:$D$52,4,FALSE)</f>
        <v>DC</v>
      </c>
    </row>
    <row r="53" spans="1:6">
      <c r="A53" t="s">
        <v>17</v>
      </c>
      <c r="B53">
        <v>2008</v>
      </c>
      <c r="C53">
        <v>1</v>
      </c>
      <c r="D53">
        <f>VLOOKUP(A53,hex!$A$1:$D$52,2,FALSE)</f>
        <v>4</v>
      </c>
      <c r="E53">
        <f>VLOOKUP(A53,hex!$A$1:$D$52,3,FALSE)</f>
        <v>10.5</v>
      </c>
      <c r="F53" t="str">
        <f>VLOOKUP(A53,hex!$A$1:$D$52,4,FALSE)</f>
        <v>DC</v>
      </c>
    </row>
    <row r="54" spans="1:6">
      <c r="A54" t="s">
        <v>17</v>
      </c>
      <c r="B54">
        <v>2012</v>
      </c>
      <c r="C54">
        <v>3</v>
      </c>
      <c r="D54">
        <f>VLOOKUP(A54,hex!$A$1:$D$52,2,FALSE)</f>
        <v>4</v>
      </c>
      <c r="E54">
        <f>VLOOKUP(A54,hex!$A$1:$D$52,3,FALSE)</f>
        <v>10.5</v>
      </c>
      <c r="F54" t="str">
        <f>VLOOKUP(A54,hex!$A$1:$D$52,4,FALSE)</f>
        <v>DC</v>
      </c>
    </row>
    <row r="55" spans="1:6">
      <c r="A55" t="s">
        <v>17</v>
      </c>
      <c r="B55">
        <v>2016</v>
      </c>
      <c r="C55">
        <v>5</v>
      </c>
      <c r="D55">
        <f>VLOOKUP(A55,hex!$A$1:$D$52,2,FALSE)</f>
        <v>4</v>
      </c>
      <c r="E55">
        <f>VLOOKUP(A55,hex!$A$1:$D$52,3,FALSE)</f>
        <v>10.5</v>
      </c>
      <c r="F55" t="str">
        <f>VLOOKUP(A55,hex!$A$1:$D$52,4,FALSE)</f>
        <v>DC</v>
      </c>
    </row>
    <row r="56" spans="1:6">
      <c r="A56" t="s">
        <v>17</v>
      </c>
      <c r="B56">
        <v>2020</v>
      </c>
      <c r="C56">
        <v>6</v>
      </c>
      <c r="D56">
        <f>VLOOKUP(A56,hex!$A$1:$D$52,2,FALSE)</f>
        <v>4</v>
      </c>
      <c r="E56">
        <f>VLOOKUP(A56,hex!$A$1:$D$52,3,FALSE)</f>
        <v>10.5</v>
      </c>
      <c r="F56" t="str">
        <f>VLOOKUP(A56,hex!$A$1:$D$52,4,FALSE)</f>
        <v>DC</v>
      </c>
    </row>
    <row r="57" spans="1:6">
      <c r="A57" t="s">
        <v>17</v>
      </c>
      <c r="B57">
        <v>2024</v>
      </c>
      <c r="C57">
        <v>6</v>
      </c>
      <c r="D57">
        <f>VLOOKUP(A57,hex!$A$1:$D$52,2,FALSE)</f>
        <v>4</v>
      </c>
      <c r="E57">
        <f>VLOOKUP(A57,hex!$A$1:$D$52,3,FALSE)</f>
        <v>10.5</v>
      </c>
      <c r="F57" t="str">
        <f>VLOOKUP(A57,hex!$A$1:$D$52,4,FALSE)</f>
        <v>DC</v>
      </c>
    </row>
    <row r="58" spans="1:6">
      <c r="A58" t="s">
        <v>18</v>
      </c>
      <c r="B58">
        <v>2000</v>
      </c>
      <c r="C58">
        <v>1</v>
      </c>
      <c r="D58">
        <f>VLOOKUP(A58,hex!$A$1:$D$52,2,FALSE)</f>
        <v>4</v>
      </c>
      <c r="E58">
        <f>VLOOKUP(A58,hex!$A$1:$D$52,3,FALSE)</f>
        <v>9.5</v>
      </c>
      <c r="F58" t="str">
        <f>VLOOKUP(A58,hex!$A$1:$D$52,4,FALSE)</f>
        <v>DE</v>
      </c>
    </row>
    <row r="59" spans="1:6">
      <c r="A59" t="s">
        <v>18</v>
      </c>
      <c r="B59">
        <v>2004</v>
      </c>
      <c r="C59">
        <v>1</v>
      </c>
      <c r="D59">
        <f>VLOOKUP(A59,hex!$A$1:$D$52,2,FALSE)</f>
        <v>4</v>
      </c>
      <c r="E59">
        <f>VLOOKUP(A59,hex!$A$1:$D$52,3,FALSE)</f>
        <v>9.5</v>
      </c>
      <c r="F59" t="str">
        <f>VLOOKUP(A59,hex!$A$1:$D$52,4,FALSE)</f>
        <v>DE</v>
      </c>
    </row>
    <row r="60" spans="1:6">
      <c r="A60" t="s">
        <v>18</v>
      </c>
      <c r="B60">
        <v>2008</v>
      </c>
      <c r="C60">
        <v>1</v>
      </c>
      <c r="D60">
        <f>VLOOKUP(A60,hex!$A$1:$D$52,2,FALSE)</f>
        <v>4</v>
      </c>
      <c r="E60">
        <f>VLOOKUP(A60,hex!$A$1:$D$52,3,FALSE)</f>
        <v>9.5</v>
      </c>
      <c r="F60" t="str">
        <f>VLOOKUP(A60,hex!$A$1:$D$52,4,FALSE)</f>
        <v>DE</v>
      </c>
    </row>
    <row r="61" spans="1:6">
      <c r="A61" t="s">
        <v>18</v>
      </c>
      <c r="B61">
        <v>2012</v>
      </c>
      <c r="C61">
        <v>1</v>
      </c>
      <c r="D61">
        <f>VLOOKUP(A61,hex!$A$1:$D$52,2,FALSE)</f>
        <v>4</v>
      </c>
      <c r="E61">
        <f>VLOOKUP(A61,hex!$A$1:$D$52,3,FALSE)</f>
        <v>9.5</v>
      </c>
      <c r="F61" t="str">
        <f>VLOOKUP(A61,hex!$A$1:$D$52,4,FALSE)</f>
        <v>DE</v>
      </c>
    </row>
    <row r="62" spans="1:6">
      <c r="A62" t="s">
        <v>18</v>
      </c>
      <c r="B62">
        <v>2016</v>
      </c>
      <c r="C62">
        <v>2</v>
      </c>
      <c r="D62">
        <f>VLOOKUP(A62,hex!$A$1:$D$52,2,FALSE)</f>
        <v>4</v>
      </c>
      <c r="E62">
        <f>VLOOKUP(A62,hex!$A$1:$D$52,3,FALSE)</f>
        <v>9.5</v>
      </c>
      <c r="F62" t="str">
        <f>VLOOKUP(A62,hex!$A$1:$D$52,4,FALSE)</f>
        <v>DE</v>
      </c>
    </row>
    <row r="63" spans="1:6">
      <c r="A63" t="s">
        <v>18</v>
      </c>
      <c r="B63">
        <v>2020</v>
      </c>
      <c r="C63">
        <v>2</v>
      </c>
      <c r="D63">
        <f>VLOOKUP(A63,hex!$A$1:$D$52,2,FALSE)</f>
        <v>4</v>
      </c>
      <c r="E63">
        <f>VLOOKUP(A63,hex!$A$1:$D$52,3,FALSE)</f>
        <v>9.5</v>
      </c>
      <c r="F63" t="str">
        <f>VLOOKUP(A63,hex!$A$1:$D$52,4,FALSE)</f>
        <v>DE</v>
      </c>
    </row>
    <row r="64" spans="1:6">
      <c r="A64" t="s">
        <v>18</v>
      </c>
      <c r="B64">
        <v>2024</v>
      </c>
      <c r="C64">
        <v>4</v>
      </c>
      <c r="D64">
        <f>VLOOKUP(A64,hex!$A$1:$D$52,2,FALSE)</f>
        <v>4</v>
      </c>
      <c r="E64">
        <f>VLOOKUP(A64,hex!$A$1:$D$52,3,FALSE)</f>
        <v>9.5</v>
      </c>
      <c r="F64" t="str">
        <f>VLOOKUP(A64,hex!$A$1:$D$52,4,FALSE)</f>
        <v>DE</v>
      </c>
    </row>
    <row r="65" spans="1:6">
      <c r="A65" t="s">
        <v>19</v>
      </c>
      <c r="B65">
        <v>2000</v>
      </c>
      <c r="C65">
        <v>1</v>
      </c>
      <c r="D65">
        <f>VLOOKUP(A65,hex!$A$1:$D$52,2,FALSE)</f>
        <v>8</v>
      </c>
      <c r="E65">
        <f>VLOOKUP(A65,hex!$A$1:$D$52,3,FALSE)</f>
        <v>8.5</v>
      </c>
      <c r="F65" t="str">
        <f>VLOOKUP(A65,hex!$A$1:$D$52,4,FALSE)</f>
        <v>FL</v>
      </c>
    </row>
    <row r="66" spans="1:6">
      <c r="A66" t="s">
        <v>19</v>
      </c>
      <c r="B66">
        <v>2004</v>
      </c>
      <c r="C66">
        <v>1</v>
      </c>
      <c r="D66">
        <f>VLOOKUP(A66,hex!$A$1:$D$52,2,FALSE)</f>
        <v>8</v>
      </c>
      <c r="E66">
        <f>VLOOKUP(A66,hex!$A$1:$D$52,3,FALSE)</f>
        <v>8.5</v>
      </c>
      <c r="F66" t="str">
        <f>VLOOKUP(A66,hex!$A$1:$D$52,4,FALSE)</f>
        <v>FL</v>
      </c>
    </row>
    <row r="67" spans="1:6">
      <c r="A67" t="s">
        <v>19</v>
      </c>
      <c r="B67">
        <v>2008</v>
      </c>
      <c r="C67">
        <v>1</v>
      </c>
      <c r="D67">
        <f>VLOOKUP(A67,hex!$A$1:$D$52,2,FALSE)</f>
        <v>8</v>
      </c>
      <c r="E67">
        <f>VLOOKUP(A67,hex!$A$1:$D$52,3,FALSE)</f>
        <v>8.5</v>
      </c>
      <c r="F67" t="str">
        <f>VLOOKUP(A67,hex!$A$1:$D$52,4,FALSE)</f>
        <v>FL</v>
      </c>
    </row>
    <row r="68" spans="1:6">
      <c r="A68" t="s">
        <v>19</v>
      </c>
      <c r="B68">
        <v>2012</v>
      </c>
      <c r="C68">
        <v>1</v>
      </c>
      <c r="D68">
        <f>VLOOKUP(A68,hex!$A$1:$D$52,2,FALSE)</f>
        <v>8</v>
      </c>
      <c r="E68">
        <f>VLOOKUP(A68,hex!$A$1:$D$52,3,FALSE)</f>
        <v>8.5</v>
      </c>
      <c r="F68" t="str">
        <f>VLOOKUP(A68,hex!$A$1:$D$52,4,FALSE)</f>
        <v>FL</v>
      </c>
    </row>
    <row r="69" spans="1:6">
      <c r="A69" t="s">
        <v>19</v>
      </c>
      <c r="B69">
        <v>2016</v>
      </c>
      <c r="C69">
        <v>1</v>
      </c>
      <c r="D69">
        <f>VLOOKUP(A69,hex!$A$1:$D$52,2,FALSE)</f>
        <v>8</v>
      </c>
      <c r="E69">
        <f>VLOOKUP(A69,hex!$A$1:$D$52,3,FALSE)</f>
        <v>8.5</v>
      </c>
      <c r="F69" t="str">
        <f>VLOOKUP(A69,hex!$A$1:$D$52,4,FALSE)</f>
        <v>FL</v>
      </c>
    </row>
    <row r="70" spans="1:6">
      <c r="A70" t="s">
        <v>19</v>
      </c>
      <c r="B70">
        <v>2020</v>
      </c>
      <c r="C70">
        <v>2</v>
      </c>
      <c r="D70">
        <f>VLOOKUP(A70,hex!$A$1:$D$52,2,FALSE)</f>
        <v>8</v>
      </c>
      <c r="E70">
        <f>VLOOKUP(A70,hex!$A$1:$D$52,3,FALSE)</f>
        <v>8.5</v>
      </c>
      <c r="F70" t="str">
        <f>VLOOKUP(A70,hex!$A$1:$D$52,4,FALSE)</f>
        <v>FL</v>
      </c>
    </row>
    <row r="71" spans="1:6">
      <c r="A71" t="s">
        <v>19</v>
      </c>
      <c r="B71">
        <v>2024</v>
      </c>
      <c r="C71">
        <v>2</v>
      </c>
      <c r="D71">
        <f>VLOOKUP(A71,hex!$A$1:$D$52,2,FALSE)</f>
        <v>8</v>
      </c>
      <c r="E71">
        <f>VLOOKUP(A71,hex!$A$1:$D$52,3,FALSE)</f>
        <v>8.5</v>
      </c>
      <c r="F71" t="str">
        <f>VLOOKUP(A71,hex!$A$1:$D$52,4,FALSE)</f>
        <v>FL</v>
      </c>
    </row>
    <row r="72" spans="1:6">
      <c r="A72" t="s">
        <v>20</v>
      </c>
      <c r="B72">
        <v>2000</v>
      </c>
      <c r="C72">
        <v>1</v>
      </c>
      <c r="D72">
        <f>VLOOKUP(A72,hex!$A$1:$D$52,2,FALSE)</f>
        <v>7</v>
      </c>
      <c r="E72">
        <f>VLOOKUP(A72,hex!$A$1:$D$52,3,FALSE)</f>
        <v>8</v>
      </c>
      <c r="F72" t="str">
        <f>VLOOKUP(A72,hex!$A$1:$D$52,4,FALSE)</f>
        <v>GA</v>
      </c>
    </row>
    <row r="73" spans="1:6">
      <c r="A73" t="s">
        <v>20</v>
      </c>
      <c r="B73">
        <v>2004</v>
      </c>
      <c r="C73">
        <v>1</v>
      </c>
      <c r="D73">
        <f>VLOOKUP(A73,hex!$A$1:$D$52,2,FALSE)</f>
        <v>7</v>
      </c>
      <c r="E73">
        <f>VLOOKUP(A73,hex!$A$1:$D$52,3,FALSE)</f>
        <v>8</v>
      </c>
      <c r="F73" t="str">
        <f>VLOOKUP(A73,hex!$A$1:$D$52,4,FALSE)</f>
        <v>GA</v>
      </c>
    </row>
    <row r="74" spans="1:6">
      <c r="A74" t="s">
        <v>20</v>
      </c>
      <c r="B74">
        <v>2008</v>
      </c>
      <c r="C74">
        <v>1</v>
      </c>
      <c r="D74">
        <f>VLOOKUP(A74,hex!$A$1:$D$52,2,FALSE)</f>
        <v>7</v>
      </c>
      <c r="E74">
        <f>VLOOKUP(A74,hex!$A$1:$D$52,3,FALSE)</f>
        <v>8</v>
      </c>
      <c r="F74" t="str">
        <f>VLOOKUP(A74,hex!$A$1:$D$52,4,FALSE)</f>
        <v>GA</v>
      </c>
    </row>
    <row r="75" spans="1:6">
      <c r="A75" t="s">
        <v>20</v>
      </c>
      <c r="B75">
        <v>2012</v>
      </c>
      <c r="C75">
        <v>1</v>
      </c>
      <c r="D75">
        <f>VLOOKUP(A75,hex!$A$1:$D$52,2,FALSE)</f>
        <v>7</v>
      </c>
      <c r="E75">
        <f>VLOOKUP(A75,hex!$A$1:$D$52,3,FALSE)</f>
        <v>8</v>
      </c>
      <c r="F75" t="str">
        <f>VLOOKUP(A75,hex!$A$1:$D$52,4,FALSE)</f>
        <v>GA</v>
      </c>
    </row>
    <row r="76" spans="1:6">
      <c r="A76" t="s">
        <v>20</v>
      </c>
      <c r="B76">
        <v>2016</v>
      </c>
      <c r="C76">
        <v>4</v>
      </c>
      <c r="D76">
        <f>VLOOKUP(A76,hex!$A$1:$D$52,2,FALSE)</f>
        <v>7</v>
      </c>
      <c r="E76">
        <f>VLOOKUP(A76,hex!$A$1:$D$52,3,FALSE)</f>
        <v>8</v>
      </c>
      <c r="F76" t="str">
        <f>VLOOKUP(A76,hex!$A$1:$D$52,4,FALSE)</f>
        <v>GA</v>
      </c>
    </row>
    <row r="77" spans="1:6">
      <c r="A77" t="s">
        <v>20</v>
      </c>
      <c r="B77">
        <v>2020</v>
      </c>
      <c r="C77">
        <v>4</v>
      </c>
      <c r="D77">
        <f>VLOOKUP(A77,hex!$A$1:$D$52,2,FALSE)</f>
        <v>7</v>
      </c>
      <c r="E77">
        <f>VLOOKUP(A77,hex!$A$1:$D$52,3,FALSE)</f>
        <v>8</v>
      </c>
      <c r="F77" t="str">
        <f>VLOOKUP(A77,hex!$A$1:$D$52,4,FALSE)</f>
        <v>GA</v>
      </c>
    </row>
    <row r="78" spans="1:6">
      <c r="A78" t="s">
        <v>20</v>
      </c>
      <c r="B78">
        <v>2024</v>
      </c>
      <c r="C78">
        <v>4</v>
      </c>
      <c r="D78">
        <f>VLOOKUP(A78,hex!$A$1:$D$52,2,FALSE)</f>
        <v>7</v>
      </c>
      <c r="E78">
        <f>VLOOKUP(A78,hex!$A$1:$D$52,3,FALSE)</f>
        <v>8</v>
      </c>
      <c r="F78" t="str">
        <f>VLOOKUP(A78,hex!$A$1:$D$52,4,FALSE)</f>
        <v>GA</v>
      </c>
    </row>
    <row r="79" spans="1:6">
      <c r="A79" t="s">
        <v>21</v>
      </c>
      <c r="B79">
        <v>2000</v>
      </c>
      <c r="C79">
        <v>1</v>
      </c>
      <c r="D79">
        <f>VLOOKUP(A79,hex!$A$1:$D$52,2,FALSE)</f>
        <v>8</v>
      </c>
      <c r="E79">
        <f>VLOOKUP(A79,hex!$A$1:$D$52,3,FALSE)</f>
        <v>0.5</v>
      </c>
      <c r="F79" t="str">
        <f>VLOOKUP(A79,hex!$A$1:$D$52,4,FALSE)</f>
        <v>HI</v>
      </c>
    </row>
    <row r="80" spans="1:6">
      <c r="A80" t="s">
        <v>21</v>
      </c>
      <c r="B80">
        <v>2004</v>
      </c>
      <c r="C80">
        <v>1</v>
      </c>
      <c r="D80">
        <f>VLOOKUP(A80,hex!$A$1:$D$52,2,FALSE)</f>
        <v>8</v>
      </c>
      <c r="E80">
        <f>VLOOKUP(A80,hex!$A$1:$D$52,3,FALSE)</f>
        <v>0.5</v>
      </c>
      <c r="F80" t="str">
        <f>VLOOKUP(A80,hex!$A$1:$D$52,4,FALSE)</f>
        <v>HI</v>
      </c>
    </row>
    <row r="81" spans="1:6">
      <c r="A81" t="s">
        <v>21</v>
      </c>
      <c r="B81">
        <v>2008</v>
      </c>
      <c r="C81">
        <v>1</v>
      </c>
      <c r="D81">
        <f>VLOOKUP(A81,hex!$A$1:$D$52,2,FALSE)</f>
        <v>8</v>
      </c>
      <c r="E81">
        <f>VLOOKUP(A81,hex!$A$1:$D$52,3,FALSE)</f>
        <v>0.5</v>
      </c>
      <c r="F81" t="str">
        <f>VLOOKUP(A81,hex!$A$1:$D$52,4,FALSE)</f>
        <v>HI</v>
      </c>
    </row>
    <row r="82" spans="1:6">
      <c r="A82" t="s">
        <v>21</v>
      </c>
      <c r="B82">
        <v>2012</v>
      </c>
      <c r="C82">
        <v>1</v>
      </c>
      <c r="D82">
        <f>VLOOKUP(A82,hex!$A$1:$D$52,2,FALSE)</f>
        <v>8</v>
      </c>
      <c r="E82">
        <f>VLOOKUP(A82,hex!$A$1:$D$52,3,FALSE)</f>
        <v>0.5</v>
      </c>
      <c r="F82" t="str">
        <f>VLOOKUP(A82,hex!$A$1:$D$52,4,FALSE)</f>
        <v>HI</v>
      </c>
    </row>
    <row r="83" spans="1:6">
      <c r="A83" t="s">
        <v>21</v>
      </c>
      <c r="B83">
        <v>2016</v>
      </c>
      <c r="C83">
        <v>5</v>
      </c>
      <c r="D83">
        <f>VLOOKUP(A83,hex!$A$1:$D$52,2,FALSE)</f>
        <v>8</v>
      </c>
      <c r="E83">
        <f>VLOOKUP(A83,hex!$A$1:$D$52,3,FALSE)</f>
        <v>0.5</v>
      </c>
      <c r="F83" t="str">
        <f>VLOOKUP(A83,hex!$A$1:$D$52,4,FALSE)</f>
        <v>HI</v>
      </c>
    </row>
    <row r="84" spans="1:6">
      <c r="A84" t="s">
        <v>21</v>
      </c>
      <c r="B84">
        <v>2020</v>
      </c>
      <c r="C84">
        <v>5</v>
      </c>
      <c r="D84">
        <f>VLOOKUP(A84,hex!$A$1:$D$52,2,FALSE)</f>
        <v>8</v>
      </c>
      <c r="E84">
        <f>VLOOKUP(A84,hex!$A$1:$D$52,3,FALSE)</f>
        <v>0.5</v>
      </c>
      <c r="F84" t="str">
        <f>VLOOKUP(A84,hex!$A$1:$D$52,4,FALSE)</f>
        <v>HI</v>
      </c>
    </row>
    <row r="85" spans="1:6">
      <c r="A85" t="s">
        <v>21</v>
      </c>
      <c r="B85">
        <v>2024</v>
      </c>
      <c r="C85">
        <v>6</v>
      </c>
      <c r="D85">
        <f>VLOOKUP(A85,hex!$A$1:$D$52,2,FALSE)</f>
        <v>8</v>
      </c>
      <c r="E85">
        <f>VLOOKUP(A85,hex!$A$1:$D$52,3,FALSE)</f>
        <v>0.5</v>
      </c>
      <c r="F85" t="str">
        <f>VLOOKUP(A85,hex!$A$1:$D$52,4,FALSE)</f>
        <v>HI</v>
      </c>
    </row>
    <row r="86" spans="1:6">
      <c r="A86" t="s">
        <v>23</v>
      </c>
      <c r="B86">
        <v>2000</v>
      </c>
      <c r="C86">
        <v>3</v>
      </c>
      <c r="D86">
        <f>VLOOKUP(A86,hex!$A$1:$D$52,2,FALSE)</f>
        <v>3</v>
      </c>
      <c r="E86">
        <f>VLOOKUP(A86,hex!$A$1:$D$52,3,FALSE)</f>
        <v>2</v>
      </c>
      <c r="F86" t="str">
        <f>VLOOKUP(A86,hex!$A$1:$D$52,4,FALSE)</f>
        <v>ID</v>
      </c>
    </row>
    <row r="87" spans="1:6">
      <c r="A87" t="s">
        <v>23</v>
      </c>
      <c r="B87">
        <v>2004</v>
      </c>
      <c r="C87">
        <v>3</v>
      </c>
      <c r="D87">
        <f>VLOOKUP(A87,hex!$A$1:$D$52,2,FALSE)</f>
        <v>3</v>
      </c>
      <c r="E87">
        <f>VLOOKUP(A87,hex!$A$1:$D$52,3,FALSE)</f>
        <v>2</v>
      </c>
      <c r="F87" t="str">
        <f>VLOOKUP(A87,hex!$A$1:$D$52,4,FALSE)</f>
        <v>ID</v>
      </c>
    </row>
    <row r="88" spans="1:6">
      <c r="A88" t="s">
        <v>23</v>
      </c>
      <c r="B88">
        <v>2008</v>
      </c>
      <c r="C88">
        <v>3</v>
      </c>
      <c r="D88">
        <f>VLOOKUP(A88,hex!$A$1:$D$52,2,FALSE)</f>
        <v>3</v>
      </c>
      <c r="E88">
        <f>VLOOKUP(A88,hex!$A$1:$D$52,3,FALSE)</f>
        <v>2</v>
      </c>
      <c r="F88" t="str">
        <f>VLOOKUP(A88,hex!$A$1:$D$52,4,FALSE)</f>
        <v>ID</v>
      </c>
    </row>
    <row r="89" spans="1:6">
      <c r="A89" t="s">
        <v>23</v>
      </c>
      <c r="B89">
        <v>2012</v>
      </c>
      <c r="C89">
        <v>3</v>
      </c>
      <c r="D89">
        <f>VLOOKUP(A89,hex!$A$1:$D$52,2,FALSE)</f>
        <v>3</v>
      </c>
      <c r="E89">
        <f>VLOOKUP(A89,hex!$A$1:$D$52,3,FALSE)</f>
        <v>2</v>
      </c>
      <c r="F89" t="str">
        <f>VLOOKUP(A89,hex!$A$1:$D$52,4,FALSE)</f>
        <v>ID</v>
      </c>
    </row>
    <row r="90" spans="1:6">
      <c r="A90" t="s">
        <v>23</v>
      </c>
      <c r="B90">
        <v>2016</v>
      </c>
      <c r="C90">
        <v>3</v>
      </c>
      <c r="D90">
        <f>VLOOKUP(A90,hex!$A$1:$D$52,2,FALSE)</f>
        <v>3</v>
      </c>
      <c r="E90">
        <f>VLOOKUP(A90,hex!$A$1:$D$52,3,FALSE)</f>
        <v>2</v>
      </c>
      <c r="F90" t="str">
        <f>VLOOKUP(A90,hex!$A$1:$D$52,4,FALSE)</f>
        <v>ID</v>
      </c>
    </row>
    <row r="91" spans="1:6">
      <c r="A91" t="s">
        <v>23</v>
      </c>
      <c r="B91">
        <v>2020</v>
      </c>
      <c r="C91">
        <v>5</v>
      </c>
      <c r="D91">
        <f>VLOOKUP(A91,hex!$A$1:$D$52,2,FALSE)</f>
        <v>3</v>
      </c>
      <c r="E91">
        <f>VLOOKUP(A91,hex!$A$1:$D$52,3,FALSE)</f>
        <v>2</v>
      </c>
      <c r="F91" t="str">
        <f>VLOOKUP(A91,hex!$A$1:$D$52,4,FALSE)</f>
        <v>ID</v>
      </c>
    </row>
    <row r="92" spans="1:6">
      <c r="A92" t="s">
        <v>23</v>
      </c>
      <c r="B92">
        <v>2024</v>
      </c>
      <c r="C92">
        <v>5</v>
      </c>
      <c r="D92">
        <f>VLOOKUP(A92,hex!$A$1:$D$52,2,FALSE)</f>
        <v>3</v>
      </c>
      <c r="E92">
        <f>VLOOKUP(A92,hex!$A$1:$D$52,3,FALSE)</f>
        <v>2</v>
      </c>
      <c r="F92" t="str">
        <f>VLOOKUP(A92,hex!$A$1:$D$52,4,FALSE)</f>
        <v>ID</v>
      </c>
    </row>
    <row r="93" spans="1:6">
      <c r="A93" t="s">
        <v>24</v>
      </c>
      <c r="B93">
        <v>2000</v>
      </c>
      <c r="C93">
        <v>1</v>
      </c>
      <c r="D93">
        <f>VLOOKUP(A93,hex!$A$1:$D$52,2,FALSE)</f>
        <v>3</v>
      </c>
      <c r="E93">
        <f>VLOOKUP(A93,hex!$A$1:$D$52,3,FALSE)</f>
        <v>6</v>
      </c>
      <c r="F93" t="str">
        <f>VLOOKUP(A93,hex!$A$1:$D$52,4,FALSE)</f>
        <v>IL</v>
      </c>
    </row>
    <row r="94" spans="1:6">
      <c r="A94" t="s">
        <v>24</v>
      </c>
      <c r="B94">
        <v>2004</v>
      </c>
      <c r="C94">
        <v>1</v>
      </c>
      <c r="D94">
        <f>VLOOKUP(A94,hex!$A$1:$D$52,2,FALSE)</f>
        <v>3</v>
      </c>
      <c r="E94">
        <f>VLOOKUP(A94,hex!$A$1:$D$52,3,FALSE)</f>
        <v>6</v>
      </c>
      <c r="F94" t="str">
        <f>VLOOKUP(A94,hex!$A$1:$D$52,4,FALSE)</f>
        <v>IL</v>
      </c>
    </row>
    <row r="95" spans="1:6">
      <c r="A95" t="s">
        <v>24</v>
      </c>
      <c r="B95">
        <v>2008</v>
      </c>
      <c r="C95">
        <v>3</v>
      </c>
      <c r="D95">
        <f>VLOOKUP(A95,hex!$A$1:$D$52,2,FALSE)</f>
        <v>3</v>
      </c>
      <c r="E95">
        <f>VLOOKUP(A95,hex!$A$1:$D$52,3,FALSE)</f>
        <v>6</v>
      </c>
      <c r="F95" t="str">
        <f>VLOOKUP(A95,hex!$A$1:$D$52,4,FALSE)</f>
        <v>IL</v>
      </c>
    </row>
    <row r="96" spans="1:6">
      <c r="A96" t="s">
        <v>24</v>
      </c>
      <c r="B96">
        <v>2012</v>
      </c>
      <c r="C96">
        <v>3</v>
      </c>
      <c r="D96">
        <f>VLOOKUP(A96,hex!$A$1:$D$52,2,FALSE)</f>
        <v>3</v>
      </c>
      <c r="E96">
        <f>VLOOKUP(A96,hex!$A$1:$D$52,3,FALSE)</f>
        <v>6</v>
      </c>
      <c r="F96" t="str">
        <f>VLOOKUP(A96,hex!$A$1:$D$52,4,FALSE)</f>
        <v>IL</v>
      </c>
    </row>
    <row r="97" spans="1:6">
      <c r="A97" t="s">
        <v>24</v>
      </c>
      <c r="B97">
        <v>2016</v>
      </c>
      <c r="C97">
        <v>5</v>
      </c>
      <c r="D97">
        <f>VLOOKUP(A97,hex!$A$1:$D$52,2,FALSE)</f>
        <v>3</v>
      </c>
      <c r="E97">
        <f>VLOOKUP(A97,hex!$A$1:$D$52,3,FALSE)</f>
        <v>6</v>
      </c>
      <c r="F97" t="str">
        <f>VLOOKUP(A97,hex!$A$1:$D$52,4,FALSE)</f>
        <v>IL</v>
      </c>
    </row>
    <row r="98" spans="1:6">
      <c r="A98" t="s">
        <v>24</v>
      </c>
      <c r="B98">
        <v>2020</v>
      </c>
      <c r="C98">
        <v>6</v>
      </c>
      <c r="D98">
        <f>VLOOKUP(A98,hex!$A$1:$D$52,2,FALSE)</f>
        <v>3</v>
      </c>
      <c r="E98">
        <f>VLOOKUP(A98,hex!$A$1:$D$52,3,FALSE)</f>
        <v>6</v>
      </c>
      <c r="F98" t="str">
        <f>VLOOKUP(A98,hex!$A$1:$D$52,4,FALSE)</f>
        <v>IL</v>
      </c>
    </row>
    <row r="99" spans="1:6">
      <c r="A99" t="s">
        <v>24</v>
      </c>
      <c r="B99">
        <v>2024</v>
      </c>
      <c r="C99">
        <v>6</v>
      </c>
      <c r="D99">
        <f>VLOOKUP(A99,hex!$A$1:$D$52,2,FALSE)</f>
        <v>3</v>
      </c>
      <c r="E99">
        <f>VLOOKUP(A99,hex!$A$1:$D$52,3,FALSE)</f>
        <v>6</v>
      </c>
      <c r="F99" t="str">
        <f>VLOOKUP(A99,hex!$A$1:$D$52,4,FALSE)</f>
        <v>IL</v>
      </c>
    </row>
    <row r="100" spans="1:6">
      <c r="A100" t="s">
        <v>25</v>
      </c>
      <c r="B100">
        <v>2000</v>
      </c>
      <c r="C100">
        <v>1</v>
      </c>
      <c r="D100">
        <f>VLOOKUP(A100,hex!$A$1:$D$52,2,FALSE)</f>
        <v>3</v>
      </c>
      <c r="E100">
        <f>VLOOKUP(A100,hex!$A$1:$D$52,3,FALSE)</f>
        <v>7</v>
      </c>
      <c r="F100" t="str">
        <f>VLOOKUP(A100,hex!$A$1:$D$52,4,FALSE)</f>
        <v>IN</v>
      </c>
    </row>
    <row r="101" spans="1:6">
      <c r="A101" t="s">
        <v>25</v>
      </c>
      <c r="B101">
        <v>2004</v>
      </c>
      <c r="C101">
        <v>1</v>
      </c>
      <c r="D101">
        <f>VLOOKUP(A101,hex!$A$1:$D$52,2,FALSE)</f>
        <v>3</v>
      </c>
      <c r="E101">
        <f>VLOOKUP(A101,hex!$A$1:$D$52,3,FALSE)</f>
        <v>7</v>
      </c>
      <c r="F101" t="str">
        <f>VLOOKUP(A101,hex!$A$1:$D$52,4,FALSE)</f>
        <v>IN</v>
      </c>
    </row>
    <row r="102" spans="1:6">
      <c r="A102" t="s">
        <v>25</v>
      </c>
      <c r="B102">
        <v>2008</v>
      </c>
      <c r="C102">
        <v>1</v>
      </c>
      <c r="D102">
        <f>VLOOKUP(A102,hex!$A$1:$D$52,2,FALSE)</f>
        <v>3</v>
      </c>
      <c r="E102">
        <f>VLOOKUP(A102,hex!$A$1:$D$52,3,FALSE)</f>
        <v>7</v>
      </c>
      <c r="F102" t="str">
        <f>VLOOKUP(A102,hex!$A$1:$D$52,4,FALSE)</f>
        <v>IN</v>
      </c>
    </row>
    <row r="103" spans="1:6">
      <c r="A103" t="s">
        <v>25</v>
      </c>
      <c r="B103">
        <v>2012</v>
      </c>
      <c r="C103">
        <v>2</v>
      </c>
      <c r="D103">
        <f>VLOOKUP(A103,hex!$A$1:$D$52,2,FALSE)</f>
        <v>3</v>
      </c>
      <c r="E103">
        <f>VLOOKUP(A103,hex!$A$1:$D$52,3,FALSE)</f>
        <v>7</v>
      </c>
      <c r="F103" t="str">
        <f>VLOOKUP(A103,hex!$A$1:$D$52,4,FALSE)</f>
        <v>IN</v>
      </c>
    </row>
    <row r="104" spans="1:6">
      <c r="A104" t="s">
        <v>25</v>
      </c>
      <c r="B104">
        <v>2016</v>
      </c>
      <c r="C104">
        <v>2</v>
      </c>
      <c r="D104">
        <f>VLOOKUP(A104,hex!$A$1:$D$52,2,FALSE)</f>
        <v>3</v>
      </c>
      <c r="E104">
        <f>VLOOKUP(A104,hex!$A$1:$D$52,3,FALSE)</f>
        <v>7</v>
      </c>
      <c r="F104" t="str">
        <f>VLOOKUP(A104,hex!$A$1:$D$52,4,FALSE)</f>
        <v>IN</v>
      </c>
    </row>
    <row r="105" spans="1:6">
      <c r="A105" t="s">
        <v>25</v>
      </c>
      <c r="B105">
        <v>2020</v>
      </c>
      <c r="C105">
        <v>2</v>
      </c>
      <c r="D105">
        <f>VLOOKUP(A105,hex!$A$1:$D$52,2,FALSE)</f>
        <v>3</v>
      </c>
      <c r="E105">
        <f>VLOOKUP(A105,hex!$A$1:$D$52,3,FALSE)</f>
        <v>7</v>
      </c>
      <c r="F105" t="str">
        <f>VLOOKUP(A105,hex!$A$1:$D$52,4,FALSE)</f>
        <v>IN</v>
      </c>
    </row>
    <row r="106" spans="1:6">
      <c r="A106" t="s">
        <v>25</v>
      </c>
      <c r="B106">
        <v>2024</v>
      </c>
      <c r="C106">
        <v>2</v>
      </c>
      <c r="D106">
        <f>VLOOKUP(A106,hex!$A$1:$D$52,2,FALSE)</f>
        <v>3</v>
      </c>
      <c r="E106">
        <f>VLOOKUP(A106,hex!$A$1:$D$52,3,FALSE)</f>
        <v>7</v>
      </c>
      <c r="F106" t="str">
        <f>VLOOKUP(A106,hex!$A$1:$D$52,4,FALSE)</f>
        <v>IN</v>
      </c>
    </row>
    <row r="107" spans="1:6">
      <c r="A107" t="s">
        <v>26</v>
      </c>
      <c r="B107">
        <v>2000</v>
      </c>
      <c r="C107">
        <v>1</v>
      </c>
      <c r="D107">
        <f>VLOOKUP(A107,hex!$A$1:$D$52,2,FALSE)</f>
        <v>3</v>
      </c>
      <c r="E107">
        <f>VLOOKUP(A107,hex!$A$1:$D$52,3,FALSE)</f>
        <v>5</v>
      </c>
      <c r="F107" t="str">
        <f>VLOOKUP(A107,hex!$A$1:$D$52,4,FALSE)</f>
        <v>IA</v>
      </c>
    </row>
    <row r="108" spans="1:6">
      <c r="A108" t="s">
        <v>26</v>
      </c>
      <c r="B108">
        <v>2004</v>
      </c>
      <c r="C108">
        <v>1</v>
      </c>
      <c r="D108">
        <f>VLOOKUP(A108,hex!$A$1:$D$52,2,FALSE)</f>
        <v>3</v>
      </c>
      <c r="E108">
        <f>VLOOKUP(A108,hex!$A$1:$D$52,3,FALSE)</f>
        <v>5</v>
      </c>
      <c r="F108" t="str">
        <f>VLOOKUP(A108,hex!$A$1:$D$52,4,FALSE)</f>
        <v>IA</v>
      </c>
    </row>
    <row r="109" spans="1:6">
      <c r="A109" t="s">
        <v>26</v>
      </c>
      <c r="B109">
        <v>2008</v>
      </c>
      <c r="C109">
        <v>3</v>
      </c>
      <c r="D109">
        <f>VLOOKUP(A109,hex!$A$1:$D$52,2,FALSE)</f>
        <v>3</v>
      </c>
      <c r="E109">
        <f>VLOOKUP(A109,hex!$A$1:$D$52,3,FALSE)</f>
        <v>5</v>
      </c>
      <c r="F109" t="str">
        <f>VLOOKUP(A109,hex!$A$1:$D$52,4,FALSE)</f>
        <v>IA</v>
      </c>
    </row>
    <row r="110" spans="1:6">
      <c r="A110" t="s">
        <v>26</v>
      </c>
      <c r="B110">
        <v>2012</v>
      </c>
      <c r="C110">
        <v>3</v>
      </c>
      <c r="D110">
        <f>VLOOKUP(A110,hex!$A$1:$D$52,2,FALSE)</f>
        <v>3</v>
      </c>
      <c r="E110">
        <f>VLOOKUP(A110,hex!$A$1:$D$52,3,FALSE)</f>
        <v>5</v>
      </c>
      <c r="F110" t="str">
        <f>VLOOKUP(A110,hex!$A$1:$D$52,4,FALSE)</f>
        <v>IA</v>
      </c>
    </row>
    <row r="111" spans="1:6">
      <c r="A111" t="s">
        <v>26</v>
      </c>
      <c r="B111">
        <v>2016</v>
      </c>
      <c r="C111">
        <v>5</v>
      </c>
      <c r="D111">
        <f>VLOOKUP(A111,hex!$A$1:$D$52,2,FALSE)</f>
        <v>3</v>
      </c>
      <c r="E111">
        <f>VLOOKUP(A111,hex!$A$1:$D$52,3,FALSE)</f>
        <v>5</v>
      </c>
      <c r="F111" t="str">
        <f>VLOOKUP(A111,hex!$A$1:$D$52,4,FALSE)</f>
        <v>IA</v>
      </c>
    </row>
    <row r="112" spans="1:6">
      <c r="A112" t="s">
        <v>26</v>
      </c>
      <c r="B112">
        <v>2020</v>
      </c>
      <c r="C112">
        <v>5</v>
      </c>
      <c r="D112">
        <f>VLOOKUP(A112,hex!$A$1:$D$52,2,FALSE)</f>
        <v>3</v>
      </c>
      <c r="E112">
        <f>VLOOKUP(A112,hex!$A$1:$D$52,3,FALSE)</f>
        <v>5</v>
      </c>
      <c r="F112" t="str">
        <f>VLOOKUP(A112,hex!$A$1:$D$52,4,FALSE)</f>
        <v>IA</v>
      </c>
    </row>
    <row r="113" spans="1:6">
      <c r="A113" t="s">
        <v>26</v>
      </c>
      <c r="B113">
        <v>2024</v>
      </c>
      <c r="C113">
        <v>5</v>
      </c>
      <c r="D113">
        <f>VLOOKUP(A113,hex!$A$1:$D$52,2,FALSE)</f>
        <v>3</v>
      </c>
      <c r="E113">
        <f>VLOOKUP(A113,hex!$A$1:$D$52,3,FALSE)</f>
        <v>5</v>
      </c>
      <c r="F113" t="str">
        <f>VLOOKUP(A113,hex!$A$1:$D$52,4,FALSE)</f>
        <v>IA</v>
      </c>
    </row>
    <row r="114" spans="1:6">
      <c r="A114" t="s">
        <v>27</v>
      </c>
      <c r="B114">
        <v>2000</v>
      </c>
      <c r="C114">
        <v>1</v>
      </c>
      <c r="D114">
        <f>VLOOKUP(A114,hex!$A$1:$D$52,2,FALSE)</f>
        <v>5</v>
      </c>
      <c r="E114">
        <f>VLOOKUP(A114,hex!$A$1:$D$52,3,FALSE)</f>
        <v>5</v>
      </c>
      <c r="F114" t="str">
        <f>VLOOKUP(A114,hex!$A$1:$D$52,4,FALSE)</f>
        <v>KS</v>
      </c>
    </row>
    <row r="115" spans="1:6">
      <c r="A115" t="s">
        <v>27</v>
      </c>
      <c r="B115">
        <v>2004</v>
      </c>
      <c r="C115">
        <v>1</v>
      </c>
      <c r="D115">
        <f>VLOOKUP(A115,hex!$A$1:$D$52,2,FALSE)</f>
        <v>5</v>
      </c>
      <c r="E115">
        <f>VLOOKUP(A115,hex!$A$1:$D$52,3,FALSE)</f>
        <v>5</v>
      </c>
      <c r="F115" t="str">
        <f>VLOOKUP(A115,hex!$A$1:$D$52,4,FALSE)</f>
        <v>KS</v>
      </c>
    </row>
    <row r="116" spans="1:6">
      <c r="A116" t="s">
        <v>27</v>
      </c>
      <c r="B116">
        <v>2008</v>
      </c>
      <c r="C116">
        <v>1</v>
      </c>
      <c r="D116">
        <f>VLOOKUP(A116,hex!$A$1:$D$52,2,FALSE)</f>
        <v>5</v>
      </c>
      <c r="E116">
        <f>VLOOKUP(A116,hex!$A$1:$D$52,3,FALSE)</f>
        <v>5</v>
      </c>
      <c r="F116" t="str">
        <f>VLOOKUP(A116,hex!$A$1:$D$52,4,FALSE)</f>
        <v>KS</v>
      </c>
    </row>
    <row r="117" spans="1:6">
      <c r="A117" t="s">
        <v>27</v>
      </c>
      <c r="B117">
        <v>2012</v>
      </c>
      <c r="C117">
        <v>2</v>
      </c>
      <c r="D117">
        <f>VLOOKUP(A117,hex!$A$1:$D$52,2,FALSE)</f>
        <v>5</v>
      </c>
      <c r="E117">
        <f>VLOOKUP(A117,hex!$A$1:$D$52,3,FALSE)</f>
        <v>5</v>
      </c>
      <c r="F117" t="str">
        <f>VLOOKUP(A117,hex!$A$1:$D$52,4,FALSE)</f>
        <v>KS</v>
      </c>
    </row>
    <row r="118" spans="1:6">
      <c r="A118" t="s">
        <v>27</v>
      </c>
      <c r="B118">
        <v>2016</v>
      </c>
      <c r="C118">
        <v>2</v>
      </c>
      <c r="D118">
        <f>VLOOKUP(A118,hex!$A$1:$D$52,2,FALSE)</f>
        <v>5</v>
      </c>
      <c r="E118">
        <f>VLOOKUP(A118,hex!$A$1:$D$52,3,FALSE)</f>
        <v>5</v>
      </c>
      <c r="F118" t="str">
        <f>VLOOKUP(A118,hex!$A$1:$D$52,4,FALSE)</f>
        <v>KS</v>
      </c>
    </row>
    <row r="119" spans="1:6">
      <c r="A119" t="s">
        <v>27</v>
      </c>
      <c r="B119">
        <v>2020</v>
      </c>
      <c r="C119">
        <v>2</v>
      </c>
      <c r="D119">
        <f>VLOOKUP(A119,hex!$A$1:$D$52,2,FALSE)</f>
        <v>5</v>
      </c>
      <c r="E119">
        <f>VLOOKUP(A119,hex!$A$1:$D$52,3,FALSE)</f>
        <v>5</v>
      </c>
      <c r="F119" t="str">
        <f>VLOOKUP(A119,hex!$A$1:$D$52,4,FALSE)</f>
        <v>KS</v>
      </c>
    </row>
    <row r="120" spans="1:6">
      <c r="A120" t="s">
        <v>27</v>
      </c>
      <c r="B120">
        <v>2024</v>
      </c>
      <c r="C120">
        <v>2</v>
      </c>
      <c r="D120">
        <f>VLOOKUP(A120,hex!$A$1:$D$52,2,FALSE)</f>
        <v>5</v>
      </c>
      <c r="E120">
        <f>VLOOKUP(A120,hex!$A$1:$D$52,3,FALSE)</f>
        <v>5</v>
      </c>
      <c r="F120" t="str">
        <f>VLOOKUP(A120,hex!$A$1:$D$52,4,FALSE)</f>
        <v>KS</v>
      </c>
    </row>
    <row r="121" spans="1:6">
      <c r="A121" t="s">
        <v>28</v>
      </c>
      <c r="B121">
        <v>2000</v>
      </c>
      <c r="C121">
        <v>1</v>
      </c>
      <c r="D121">
        <f>VLOOKUP(A121,hex!$A$1:$D$52,2,FALSE)</f>
        <v>4</v>
      </c>
      <c r="E121">
        <f>VLOOKUP(A121,hex!$A$1:$D$52,3,FALSE)</f>
        <v>6.5</v>
      </c>
      <c r="F121" t="str">
        <f>VLOOKUP(A121,hex!$A$1:$D$52,4,FALSE)</f>
        <v>KY</v>
      </c>
    </row>
    <row r="122" spans="1:6">
      <c r="A122" t="s">
        <v>28</v>
      </c>
      <c r="B122">
        <v>2004</v>
      </c>
      <c r="C122">
        <v>1</v>
      </c>
      <c r="D122">
        <f>VLOOKUP(A122,hex!$A$1:$D$52,2,FALSE)</f>
        <v>4</v>
      </c>
      <c r="E122">
        <f>VLOOKUP(A122,hex!$A$1:$D$52,3,FALSE)</f>
        <v>6.5</v>
      </c>
      <c r="F122" t="str">
        <f>VLOOKUP(A122,hex!$A$1:$D$52,4,FALSE)</f>
        <v>KY</v>
      </c>
    </row>
    <row r="123" spans="1:6">
      <c r="A123" t="s">
        <v>28</v>
      </c>
      <c r="B123">
        <v>2008</v>
      </c>
      <c r="C123">
        <v>1</v>
      </c>
      <c r="D123">
        <f>VLOOKUP(A123,hex!$A$1:$D$52,2,FALSE)</f>
        <v>4</v>
      </c>
      <c r="E123">
        <f>VLOOKUP(A123,hex!$A$1:$D$52,3,FALSE)</f>
        <v>6.5</v>
      </c>
      <c r="F123" t="str">
        <f>VLOOKUP(A123,hex!$A$1:$D$52,4,FALSE)</f>
        <v>KY</v>
      </c>
    </row>
    <row r="124" spans="1:6">
      <c r="A124" t="s">
        <v>28</v>
      </c>
      <c r="B124">
        <v>2012</v>
      </c>
      <c r="C124">
        <v>1</v>
      </c>
      <c r="D124">
        <f>VLOOKUP(A124,hex!$A$1:$D$52,2,FALSE)</f>
        <v>4</v>
      </c>
      <c r="E124">
        <f>VLOOKUP(A124,hex!$A$1:$D$52,3,FALSE)</f>
        <v>6.5</v>
      </c>
      <c r="F124" t="str">
        <f>VLOOKUP(A124,hex!$A$1:$D$52,4,FALSE)</f>
        <v>KY</v>
      </c>
    </row>
    <row r="125" spans="1:6">
      <c r="A125" t="s">
        <v>28</v>
      </c>
      <c r="B125">
        <v>2016</v>
      </c>
      <c r="C125">
        <v>2</v>
      </c>
      <c r="D125">
        <f>VLOOKUP(A125,hex!$A$1:$D$52,2,FALSE)</f>
        <v>4</v>
      </c>
      <c r="E125">
        <f>VLOOKUP(A125,hex!$A$1:$D$52,3,FALSE)</f>
        <v>6.5</v>
      </c>
      <c r="F125" t="str">
        <f>VLOOKUP(A125,hex!$A$1:$D$52,4,FALSE)</f>
        <v>KY</v>
      </c>
    </row>
    <row r="126" spans="1:6">
      <c r="A126" t="s">
        <v>28</v>
      </c>
      <c r="B126">
        <v>2020</v>
      </c>
      <c r="C126">
        <v>2</v>
      </c>
      <c r="D126">
        <f>VLOOKUP(A126,hex!$A$1:$D$52,2,FALSE)</f>
        <v>4</v>
      </c>
      <c r="E126">
        <f>VLOOKUP(A126,hex!$A$1:$D$52,3,FALSE)</f>
        <v>6.5</v>
      </c>
      <c r="F126" t="str">
        <f>VLOOKUP(A126,hex!$A$1:$D$52,4,FALSE)</f>
        <v>KY</v>
      </c>
    </row>
    <row r="127" spans="1:6">
      <c r="A127" t="s">
        <v>28</v>
      </c>
      <c r="B127">
        <v>2024</v>
      </c>
      <c r="C127">
        <v>2</v>
      </c>
      <c r="D127">
        <f>VLOOKUP(A127,hex!$A$1:$D$52,2,FALSE)</f>
        <v>4</v>
      </c>
      <c r="E127">
        <f>VLOOKUP(A127,hex!$A$1:$D$52,3,FALSE)</f>
        <v>6.5</v>
      </c>
      <c r="F127" t="str">
        <f>VLOOKUP(A127,hex!$A$1:$D$52,4,FALSE)</f>
        <v>KY</v>
      </c>
    </row>
    <row r="128" spans="1:6">
      <c r="A128" t="s">
        <v>29</v>
      </c>
      <c r="B128">
        <v>2000</v>
      </c>
      <c r="C128">
        <v>1</v>
      </c>
      <c r="D128">
        <f>VLOOKUP(A128,hex!$A$1:$D$52,2,FALSE)</f>
        <v>6</v>
      </c>
      <c r="E128">
        <f>VLOOKUP(A128,hex!$A$1:$D$52,3,FALSE)</f>
        <v>5.5</v>
      </c>
      <c r="F128" t="str">
        <f>VLOOKUP(A128,hex!$A$1:$D$52,4,FALSE)</f>
        <v>LA</v>
      </c>
    </row>
    <row r="129" spans="1:6">
      <c r="A129" t="s">
        <v>29</v>
      </c>
      <c r="B129">
        <v>2004</v>
      </c>
      <c r="C129">
        <v>1</v>
      </c>
      <c r="D129">
        <f>VLOOKUP(A129,hex!$A$1:$D$52,2,FALSE)</f>
        <v>6</v>
      </c>
      <c r="E129">
        <f>VLOOKUP(A129,hex!$A$1:$D$52,3,FALSE)</f>
        <v>5.5</v>
      </c>
      <c r="F129" t="str">
        <f>VLOOKUP(A129,hex!$A$1:$D$52,4,FALSE)</f>
        <v>LA</v>
      </c>
    </row>
    <row r="130" spans="1:6">
      <c r="A130" t="s">
        <v>29</v>
      </c>
      <c r="B130">
        <v>2008</v>
      </c>
      <c r="C130">
        <v>1</v>
      </c>
      <c r="D130">
        <f>VLOOKUP(A130,hex!$A$1:$D$52,2,FALSE)</f>
        <v>6</v>
      </c>
      <c r="E130">
        <f>VLOOKUP(A130,hex!$A$1:$D$52,3,FALSE)</f>
        <v>5.5</v>
      </c>
      <c r="F130" t="str">
        <f>VLOOKUP(A130,hex!$A$1:$D$52,4,FALSE)</f>
        <v>LA</v>
      </c>
    </row>
    <row r="131" spans="1:6">
      <c r="A131" t="s">
        <v>29</v>
      </c>
      <c r="B131">
        <v>2012</v>
      </c>
      <c r="C131">
        <v>2</v>
      </c>
      <c r="D131">
        <f>VLOOKUP(A131,hex!$A$1:$D$52,2,FALSE)</f>
        <v>6</v>
      </c>
      <c r="E131">
        <f>VLOOKUP(A131,hex!$A$1:$D$52,3,FALSE)</f>
        <v>5.5</v>
      </c>
      <c r="F131" t="str">
        <f>VLOOKUP(A131,hex!$A$1:$D$52,4,FALSE)</f>
        <v>LA</v>
      </c>
    </row>
    <row r="132" spans="1:6">
      <c r="A132" t="s">
        <v>29</v>
      </c>
      <c r="B132">
        <v>2016</v>
      </c>
      <c r="C132">
        <v>2</v>
      </c>
      <c r="D132">
        <f>VLOOKUP(A132,hex!$A$1:$D$52,2,FALSE)</f>
        <v>6</v>
      </c>
      <c r="E132">
        <f>VLOOKUP(A132,hex!$A$1:$D$52,3,FALSE)</f>
        <v>5.5</v>
      </c>
      <c r="F132" t="str">
        <f>VLOOKUP(A132,hex!$A$1:$D$52,4,FALSE)</f>
        <v>LA</v>
      </c>
    </row>
    <row r="133" spans="1:6">
      <c r="A133" t="s">
        <v>29</v>
      </c>
      <c r="B133">
        <v>2020</v>
      </c>
      <c r="C133">
        <v>2</v>
      </c>
      <c r="D133">
        <f>VLOOKUP(A133,hex!$A$1:$D$52,2,FALSE)</f>
        <v>6</v>
      </c>
      <c r="E133">
        <f>VLOOKUP(A133,hex!$A$1:$D$52,3,FALSE)</f>
        <v>5.5</v>
      </c>
      <c r="F133" t="str">
        <f>VLOOKUP(A133,hex!$A$1:$D$52,4,FALSE)</f>
        <v>LA</v>
      </c>
    </row>
    <row r="134" spans="1:6">
      <c r="A134" t="s">
        <v>29</v>
      </c>
      <c r="B134">
        <v>2024</v>
      </c>
      <c r="C134">
        <v>2</v>
      </c>
      <c r="D134">
        <f>VLOOKUP(A134,hex!$A$1:$D$52,2,FALSE)</f>
        <v>6</v>
      </c>
      <c r="E134">
        <f>VLOOKUP(A134,hex!$A$1:$D$52,3,FALSE)</f>
        <v>5.5</v>
      </c>
      <c r="F134" t="str">
        <f>VLOOKUP(A134,hex!$A$1:$D$52,4,FALSE)</f>
        <v>LA</v>
      </c>
    </row>
    <row r="135" spans="1:6">
      <c r="A135" t="s">
        <v>30</v>
      </c>
      <c r="B135">
        <v>2000</v>
      </c>
      <c r="C135">
        <v>3</v>
      </c>
      <c r="D135">
        <f>VLOOKUP(A135,hex!$A$1:$D$52,2,FALSE)</f>
        <v>0</v>
      </c>
      <c r="E135">
        <f>VLOOKUP(A135,hex!$A$1:$D$52,3,FALSE)</f>
        <v>11.5</v>
      </c>
      <c r="F135" t="str">
        <f>VLOOKUP(A135,hex!$A$1:$D$52,4,FALSE)</f>
        <v>ME</v>
      </c>
    </row>
    <row r="136" spans="1:6">
      <c r="A136" t="s">
        <v>30</v>
      </c>
      <c r="B136">
        <v>2004</v>
      </c>
      <c r="C136">
        <v>3</v>
      </c>
      <c r="D136">
        <f>VLOOKUP(A136,hex!$A$1:$D$52,2,FALSE)</f>
        <v>0</v>
      </c>
      <c r="E136">
        <f>VLOOKUP(A136,hex!$A$1:$D$52,3,FALSE)</f>
        <v>11.5</v>
      </c>
      <c r="F136" t="str">
        <f>VLOOKUP(A136,hex!$A$1:$D$52,4,FALSE)</f>
        <v>ME</v>
      </c>
    </row>
    <row r="137" spans="1:6">
      <c r="A137" t="s">
        <v>30</v>
      </c>
      <c r="B137">
        <v>2008</v>
      </c>
      <c r="C137">
        <v>3</v>
      </c>
      <c r="D137">
        <f>VLOOKUP(A137,hex!$A$1:$D$52,2,FALSE)</f>
        <v>0</v>
      </c>
      <c r="E137">
        <f>VLOOKUP(A137,hex!$A$1:$D$52,3,FALSE)</f>
        <v>11.5</v>
      </c>
      <c r="F137" t="str">
        <f>VLOOKUP(A137,hex!$A$1:$D$52,4,FALSE)</f>
        <v>ME</v>
      </c>
    </row>
    <row r="138" spans="1:6">
      <c r="A138" t="s">
        <v>30</v>
      </c>
      <c r="B138">
        <v>2012</v>
      </c>
      <c r="C138">
        <v>3</v>
      </c>
      <c r="D138">
        <f>VLOOKUP(A138,hex!$A$1:$D$52,2,FALSE)</f>
        <v>0</v>
      </c>
      <c r="E138">
        <f>VLOOKUP(A138,hex!$A$1:$D$52,3,FALSE)</f>
        <v>11.5</v>
      </c>
      <c r="F138" t="str">
        <f>VLOOKUP(A138,hex!$A$1:$D$52,4,FALSE)</f>
        <v>ME</v>
      </c>
    </row>
    <row r="139" spans="1:6">
      <c r="A139" t="s">
        <v>30</v>
      </c>
      <c r="B139">
        <v>2016</v>
      </c>
      <c r="C139">
        <v>3</v>
      </c>
      <c r="D139">
        <f>VLOOKUP(A139,hex!$A$1:$D$52,2,FALSE)</f>
        <v>0</v>
      </c>
      <c r="E139">
        <f>VLOOKUP(A139,hex!$A$1:$D$52,3,FALSE)</f>
        <v>11.5</v>
      </c>
      <c r="F139" t="str">
        <f>VLOOKUP(A139,hex!$A$1:$D$52,4,FALSE)</f>
        <v>ME</v>
      </c>
    </row>
    <row r="140" spans="1:6">
      <c r="A140" t="s">
        <v>30</v>
      </c>
      <c r="B140">
        <v>2020</v>
      </c>
      <c r="C140">
        <v>3</v>
      </c>
      <c r="D140">
        <f>VLOOKUP(A140,hex!$A$1:$D$52,2,FALSE)</f>
        <v>0</v>
      </c>
      <c r="E140">
        <f>VLOOKUP(A140,hex!$A$1:$D$52,3,FALSE)</f>
        <v>11.5</v>
      </c>
      <c r="F140" t="str">
        <f>VLOOKUP(A140,hex!$A$1:$D$52,4,FALSE)</f>
        <v>ME</v>
      </c>
    </row>
    <row r="141" spans="1:6">
      <c r="A141" t="s">
        <v>30</v>
      </c>
      <c r="B141">
        <v>2024</v>
      </c>
      <c r="C141">
        <v>6</v>
      </c>
      <c r="D141">
        <f>VLOOKUP(A141,hex!$A$1:$D$52,2,FALSE)</f>
        <v>0</v>
      </c>
      <c r="E141">
        <f>VLOOKUP(A141,hex!$A$1:$D$52,3,FALSE)</f>
        <v>11.5</v>
      </c>
      <c r="F141" t="str">
        <f>VLOOKUP(A141,hex!$A$1:$D$52,4,FALSE)</f>
        <v>ME</v>
      </c>
    </row>
    <row r="142" spans="1:6">
      <c r="A142" t="s">
        <v>31</v>
      </c>
      <c r="B142">
        <v>2000</v>
      </c>
      <c r="C142">
        <v>1</v>
      </c>
      <c r="D142">
        <f>VLOOKUP(A142,hex!$A$1:$D$52,2,FALSE)</f>
        <v>4</v>
      </c>
      <c r="E142">
        <f>VLOOKUP(A142,hex!$A$1:$D$52,3,FALSE)</f>
        <v>8.5</v>
      </c>
      <c r="F142" t="str">
        <f>VLOOKUP(A142,hex!$A$1:$D$52,4,FALSE)</f>
        <v>MD</v>
      </c>
    </row>
    <row r="143" spans="1:6">
      <c r="A143" t="s">
        <v>31</v>
      </c>
      <c r="B143">
        <v>2004</v>
      </c>
      <c r="C143">
        <v>1</v>
      </c>
      <c r="D143">
        <f>VLOOKUP(A143,hex!$A$1:$D$52,2,FALSE)</f>
        <v>4</v>
      </c>
      <c r="E143">
        <f>VLOOKUP(A143,hex!$A$1:$D$52,3,FALSE)</f>
        <v>8.5</v>
      </c>
      <c r="F143" t="str">
        <f>VLOOKUP(A143,hex!$A$1:$D$52,4,FALSE)</f>
        <v>MD</v>
      </c>
    </row>
    <row r="144" spans="1:6">
      <c r="A144" t="s">
        <v>31</v>
      </c>
      <c r="B144">
        <v>2008</v>
      </c>
      <c r="C144">
        <v>1</v>
      </c>
      <c r="D144">
        <f>VLOOKUP(A144,hex!$A$1:$D$52,2,FALSE)</f>
        <v>4</v>
      </c>
      <c r="E144">
        <f>VLOOKUP(A144,hex!$A$1:$D$52,3,FALSE)</f>
        <v>8.5</v>
      </c>
      <c r="F144" t="str">
        <f>VLOOKUP(A144,hex!$A$1:$D$52,4,FALSE)</f>
        <v>MD</v>
      </c>
    </row>
    <row r="145" spans="1:6">
      <c r="A145" t="s">
        <v>31</v>
      </c>
      <c r="B145">
        <v>2012</v>
      </c>
      <c r="C145">
        <v>2</v>
      </c>
      <c r="D145">
        <f>VLOOKUP(A145,hex!$A$1:$D$52,2,FALSE)</f>
        <v>4</v>
      </c>
      <c r="E145">
        <f>VLOOKUP(A145,hex!$A$1:$D$52,3,FALSE)</f>
        <v>8.5</v>
      </c>
      <c r="F145" t="str">
        <f>VLOOKUP(A145,hex!$A$1:$D$52,4,FALSE)</f>
        <v>MD</v>
      </c>
    </row>
    <row r="146" spans="1:6">
      <c r="A146" t="s">
        <v>31</v>
      </c>
      <c r="B146">
        <v>2016</v>
      </c>
      <c r="C146">
        <v>5</v>
      </c>
      <c r="D146">
        <f>VLOOKUP(A146,hex!$A$1:$D$52,2,FALSE)</f>
        <v>4</v>
      </c>
      <c r="E146">
        <f>VLOOKUP(A146,hex!$A$1:$D$52,3,FALSE)</f>
        <v>8.5</v>
      </c>
      <c r="F146" t="str">
        <f>VLOOKUP(A146,hex!$A$1:$D$52,4,FALSE)</f>
        <v>MD</v>
      </c>
    </row>
    <row r="147" spans="1:6">
      <c r="A147" t="s">
        <v>31</v>
      </c>
      <c r="B147">
        <v>2020</v>
      </c>
      <c r="C147">
        <v>6</v>
      </c>
      <c r="D147">
        <f>VLOOKUP(A147,hex!$A$1:$D$52,2,FALSE)</f>
        <v>4</v>
      </c>
      <c r="E147">
        <f>VLOOKUP(A147,hex!$A$1:$D$52,3,FALSE)</f>
        <v>8.5</v>
      </c>
      <c r="F147" t="str">
        <f>VLOOKUP(A147,hex!$A$1:$D$52,4,FALSE)</f>
        <v>MD</v>
      </c>
    </row>
    <row r="148" spans="1:6">
      <c r="A148" t="s">
        <v>31</v>
      </c>
      <c r="B148">
        <v>2024</v>
      </c>
      <c r="C148">
        <v>6</v>
      </c>
      <c r="D148">
        <f>VLOOKUP(A148,hex!$A$1:$D$52,2,FALSE)</f>
        <v>4</v>
      </c>
      <c r="E148">
        <f>VLOOKUP(A148,hex!$A$1:$D$52,3,FALSE)</f>
        <v>8.5</v>
      </c>
      <c r="F148" t="str">
        <f>VLOOKUP(A148,hex!$A$1:$D$52,4,FALSE)</f>
        <v>MD</v>
      </c>
    </row>
    <row r="149" spans="1:6">
      <c r="A149" t="s">
        <v>33</v>
      </c>
      <c r="B149">
        <v>2000</v>
      </c>
      <c r="C149">
        <v>1</v>
      </c>
      <c r="D149">
        <f>VLOOKUP(A149,hex!$A$1:$D$52,2,FALSE)</f>
        <v>2</v>
      </c>
      <c r="E149">
        <f>VLOOKUP(A149,hex!$A$1:$D$52,3,FALSE)</f>
        <v>10.5</v>
      </c>
      <c r="F149" t="str">
        <f>VLOOKUP(A149,hex!$A$1:$D$52,4,FALSE)</f>
        <v>MA</v>
      </c>
    </row>
    <row r="150" spans="1:6">
      <c r="A150" t="s">
        <v>33</v>
      </c>
      <c r="B150">
        <v>2004</v>
      </c>
      <c r="C150">
        <v>1</v>
      </c>
      <c r="D150">
        <f>VLOOKUP(A150,hex!$A$1:$D$52,2,FALSE)</f>
        <v>2</v>
      </c>
      <c r="E150">
        <f>VLOOKUP(A150,hex!$A$1:$D$52,3,FALSE)</f>
        <v>10.5</v>
      </c>
      <c r="F150" t="str">
        <f>VLOOKUP(A150,hex!$A$1:$D$52,4,FALSE)</f>
        <v>MA</v>
      </c>
    </row>
    <row r="151" spans="1:6">
      <c r="A151" t="s">
        <v>33</v>
      </c>
      <c r="B151">
        <v>2008</v>
      </c>
      <c r="C151">
        <v>1</v>
      </c>
      <c r="D151">
        <f>VLOOKUP(A151,hex!$A$1:$D$52,2,FALSE)</f>
        <v>2</v>
      </c>
      <c r="E151">
        <f>VLOOKUP(A151,hex!$A$1:$D$52,3,FALSE)</f>
        <v>10.5</v>
      </c>
      <c r="F151" t="str">
        <f>VLOOKUP(A151,hex!$A$1:$D$52,4,FALSE)</f>
        <v>MA</v>
      </c>
    </row>
    <row r="152" spans="1:6">
      <c r="A152" t="s">
        <v>33</v>
      </c>
      <c r="B152">
        <v>2012</v>
      </c>
      <c r="C152">
        <v>1</v>
      </c>
      <c r="D152">
        <f>VLOOKUP(A152,hex!$A$1:$D$52,2,FALSE)</f>
        <v>2</v>
      </c>
      <c r="E152">
        <f>VLOOKUP(A152,hex!$A$1:$D$52,3,FALSE)</f>
        <v>10.5</v>
      </c>
      <c r="F152" t="str">
        <f>VLOOKUP(A152,hex!$A$1:$D$52,4,FALSE)</f>
        <v>MA</v>
      </c>
    </row>
    <row r="153" spans="1:6">
      <c r="A153" t="s">
        <v>33</v>
      </c>
      <c r="B153">
        <v>2016</v>
      </c>
      <c r="C153">
        <v>2</v>
      </c>
      <c r="D153">
        <f>VLOOKUP(A153,hex!$A$1:$D$52,2,FALSE)</f>
        <v>2</v>
      </c>
      <c r="E153">
        <f>VLOOKUP(A153,hex!$A$1:$D$52,3,FALSE)</f>
        <v>10.5</v>
      </c>
      <c r="F153" t="str">
        <f>VLOOKUP(A153,hex!$A$1:$D$52,4,FALSE)</f>
        <v>MA</v>
      </c>
    </row>
    <row r="154" spans="1:6">
      <c r="A154" t="s">
        <v>33</v>
      </c>
      <c r="B154">
        <v>2020</v>
      </c>
      <c r="C154">
        <v>4</v>
      </c>
      <c r="D154">
        <f>VLOOKUP(A154,hex!$A$1:$D$52,2,FALSE)</f>
        <v>2</v>
      </c>
      <c r="E154">
        <f>VLOOKUP(A154,hex!$A$1:$D$52,3,FALSE)</f>
        <v>10.5</v>
      </c>
      <c r="F154" t="str">
        <f>VLOOKUP(A154,hex!$A$1:$D$52,4,FALSE)</f>
        <v>MA</v>
      </c>
    </row>
    <row r="155" spans="1:6">
      <c r="A155" t="s">
        <v>33</v>
      </c>
      <c r="B155">
        <v>2024</v>
      </c>
      <c r="C155">
        <v>4</v>
      </c>
      <c r="D155">
        <f>VLOOKUP(A155,hex!$A$1:$D$52,2,FALSE)</f>
        <v>2</v>
      </c>
      <c r="E155">
        <f>VLOOKUP(A155,hex!$A$1:$D$52,3,FALSE)</f>
        <v>10.5</v>
      </c>
      <c r="F155" t="str">
        <f>VLOOKUP(A155,hex!$A$1:$D$52,4,FALSE)</f>
        <v>MA</v>
      </c>
    </row>
    <row r="156" spans="1:6">
      <c r="A156" t="s">
        <v>35</v>
      </c>
      <c r="B156">
        <v>2000</v>
      </c>
      <c r="C156">
        <v>1</v>
      </c>
      <c r="D156">
        <f>VLOOKUP(A156,hex!$A$1:$D$52,2,FALSE)</f>
        <v>2</v>
      </c>
      <c r="E156">
        <f>VLOOKUP(A156,hex!$A$1:$D$52,3,FALSE)</f>
        <v>7.5</v>
      </c>
      <c r="F156" t="str">
        <f>VLOOKUP(A156,hex!$A$1:$D$52,4,FALSE)</f>
        <v>MI</v>
      </c>
    </row>
    <row r="157" spans="1:6">
      <c r="A157" t="s">
        <v>35</v>
      </c>
      <c r="B157">
        <v>2004</v>
      </c>
      <c r="C157">
        <v>1</v>
      </c>
      <c r="D157">
        <f>VLOOKUP(A157,hex!$A$1:$D$52,2,FALSE)</f>
        <v>2</v>
      </c>
      <c r="E157">
        <f>VLOOKUP(A157,hex!$A$1:$D$52,3,FALSE)</f>
        <v>7.5</v>
      </c>
      <c r="F157" t="str">
        <f>VLOOKUP(A157,hex!$A$1:$D$52,4,FALSE)</f>
        <v>MI</v>
      </c>
    </row>
    <row r="158" spans="1:6">
      <c r="A158" t="s">
        <v>35</v>
      </c>
      <c r="B158">
        <v>2008</v>
      </c>
      <c r="C158">
        <v>1</v>
      </c>
      <c r="D158">
        <f>VLOOKUP(A158,hex!$A$1:$D$52,2,FALSE)</f>
        <v>2</v>
      </c>
      <c r="E158">
        <f>VLOOKUP(A158,hex!$A$1:$D$52,3,FALSE)</f>
        <v>7.5</v>
      </c>
      <c r="F158" t="str">
        <f>VLOOKUP(A158,hex!$A$1:$D$52,4,FALSE)</f>
        <v>MI</v>
      </c>
    </row>
    <row r="159" spans="1:6">
      <c r="A159" t="s">
        <v>35</v>
      </c>
      <c r="B159">
        <v>2012</v>
      </c>
      <c r="C159">
        <v>1</v>
      </c>
      <c r="D159">
        <f>VLOOKUP(A159,hex!$A$1:$D$52,2,FALSE)</f>
        <v>2</v>
      </c>
      <c r="E159">
        <f>VLOOKUP(A159,hex!$A$1:$D$52,3,FALSE)</f>
        <v>7.5</v>
      </c>
      <c r="F159" t="str">
        <f>VLOOKUP(A159,hex!$A$1:$D$52,4,FALSE)</f>
        <v>MI</v>
      </c>
    </row>
    <row r="160" spans="1:6">
      <c r="A160" t="s">
        <v>35</v>
      </c>
      <c r="B160">
        <v>2016</v>
      </c>
      <c r="C160">
        <v>1</v>
      </c>
      <c r="D160">
        <f>VLOOKUP(A160,hex!$A$1:$D$52,2,FALSE)</f>
        <v>2</v>
      </c>
      <c r="E160">
        <f>VLOOKUP(A160,hex!$A$1:$D$52,3,FALSE)</f>
        <v>7.5</v>
      </c>
      <c r="F160" t="str">
        <f>VLOOKUP(A160,hex!$A$1:$D$52,4,FALSE)</f>
        <v>MI</v>
      </c>
    </row>
    <row r="161" spans="1:6">
      <c r="A161" t="s">
        <v>35</v>
      </c>
      <c r="B161">
        <v>2020</v>
      </c>
      <c r="C161">
        <v>6</v>
      </c>
      <c r="D161">
        <f>VLOOKUP(A161,hex!$A$1:$D$52,2,FALSE)</f>
        <v>2</v>
      </c>
      <c r="E161">
        <f>VLOOKUP(A161,hex!$A$1:$D$52,3,FALSE)</f>
        <v>7.5</v>
      </c>
      <c r="F161" t="str">
        <f>VLOOKUP(A161,hex!$A$1:$D$52,4,FALSE)</f>
        <v>MI</v>
      </c>
    </row>
    <row r="162" spans="1:6">
      <c r="A162" t="s">
        <v>35</v>
      </c>
      <c r="B162">
        <v>2024</v>
      </c>
      <c r="C162">
        <v>6</v>
      </c>
      <c r="D162">
        <f>VLOOKUP(A162,hex!$A$1:$D$52,2,FALSE)</f>
        <v>2</v>
      </c>
      <c r="E162">
        <f>VLOOKUP(A162,hex!$A$1:$D$52,3,FALSE)</f>
        <v>7.5</v>
      </c>
      <c r="F162" t="str">
        <f>VLOOKUP(A162,hex!$A$1:$D$52,4,FALSE)</f>
        <v>MI</v>
      </c>
    </row>
    <row r="163" spans="1:6">
      <c r="A163" t="s">
        <v>36</v>
      </c>
      <c r="B163">
        <v>2000</v>
      </c>
      <c r="C163">
        <v>3</v>
      </c>
      <c r="D163">
        <f>VLOOKUP(A163,hex!$A$1:$D$52,2,FALSE)</f>
        <v>2</v>
      </c>
      <c r="E163">
        <f>VLOOKUP(A163,hex!$A$1:$D$52,3,FALSE)</f>
        <v>4.5</v>
      </c>
      <c r="F163" t="str">
        <f>VLOOKUP(A163,hex!$A$1:$D$52,4,FALSE)</f>
        <v>MN</v>
      </c>
    </row>
    <row r="164" spans="1:6">
      <c r="A164" t="s">
        <v>36</v>
      </c>
      <c r="B164">
        <v>2004</v>
      </c>
      <c r="C164">
        <v>3</v>
      </c>
      <c r="D164">
        <f>VLOOKUP(A164,hex!$A$1:$D$52,2,FALSE)</f>
        <v>2</v>
      </c>
      <c r="E164">
        <f>VLOOKUP(A164,hex!$A$1:$D$52,3,FALSE)</f>
        <v>4.5</v>
      </c>
      <c r="F164" t="str">
        <f>VLOOKUP(A164,hex!$A$1:$D$52,4,FALSE)</f>
        <v>MN</v>
      </c>
    </row>
    <row r="165" spans="1:6">
      <c r="A165" t="s">
        <v>36</v>
      </c>
      <c r="B165">
        <v>2008</v>
      </c>
      <c r="C165">
        <v>3</v>
      </c>
      <c r="D165">
        <f>VLOOKUP(A165,hex!$A$1:$D$52,2,FALSE)</f>
        <v>2</v>
      </c>
      <c r="E165">
        <f>VLOOKUP(A165,hex!$A$1:$D$52,3,FALSE)</f>
        <v>4.5</v>
      </c>
      <c r="F165" t="str">
        <f>VLOOKUP(A165,hex!$A$1:$D$52,4,FALSE)</f>
        <v>MN</v>
      </c>
    </row>
    <row r="166" spans="1:6">
      <c r="A166" t="s">
        <v>36</v>
      </c>
      <c r="B166">
        <v>2012</v>
      </c>
      <c r="C166">
        <v>3</v>
      </c>
      <c r="D166">
        <f>VLOOKUP(A166,hex!$A$1:$D$52,2,FALSE)</f>
        <v>2</v>
      </c>
      <c r="E166">
        <f>VLOOKUP(A166,hex!$A$1:$D$52,3,FALSE)</f>
        <v>4.5</v>
      </c>
      <c r="F166" t="str">
        <f>VLOOKUP(A166,hex!$A$1:$D$52,4,FALSE)</f>
        <v>MN</v>
      </c>
    </row>
    <row r="167" spans="1:6">
      <c r="A167" t="s">
        <v>36</v>
      </c>
      <c r="B167">
        <v>2016</v>
      </c>
      <c r="C167">
        <v>5</v>
      </c>
      <c r="D167">
        <f>VLOOKUP(A167,hex!$A$1:$D$52,2,FALSE)</f>
        <v>2</v>
      </c>
      <c r="E167">
        <f>VLOOKUP(A167,hex!$A$1:$D$52,3,FALSE)</f>
        <v>4.5</v>
      </c>
      <c r="F167" t="str">
        <f>VLOOKUP(A167,hex!$A$1:$D$52,4,FALSE)</f>
        <v>MN</v>
      </c>
    </row>
    <row r="168" spans="1:6">
      <c r="A168" t="s">
        <v>36</v>
      </c>
      <c r="B168">
        <v>2020</v>
      </c>
      <c r="C168">
        <v>5</v>
      </c>
      <c r="D168">
        <f>VLOOKUP(A168,hex!$A$1:$D$52,2,FALSE)</f>
        <v>2</v>
      </c>
      <c r="E168">
        <f>VLOOKUP(A168,hex!$A$1:$D$52,3,FALSE)</f>
        <v>4.5</v>
      </c>
      <c r="F168" t="str">
        <f>VLOOKUP(A168,hex!$A$1:$D$52,4,FALSE)</f>
        <v>MN</v>
      </c>
    </row>
    <row r="169" spans="1:6">
      <c r="A169" t="s">
        <v>36</v>
      </c>
      <c r="B169">
        <v>2024</v>
      </c>
      <c r="C169">
        <v>6</v>
      </c>
      <c r="D169">
        <f>VLOOKUP(A169,hex!$A$1:$D$52,2,FALSE)</f>
        <v>2</v>
      </c>
      <c r="E169">
        <f>VLOOKUP(A169,hex!$A$1:$D$52,3,FALSE)</f>
        <v>4.5</v>
      </c>
      <c r="F169" t="str">
        <f>VLOOKUP(A169,hex!$A$1:$D$52,4,FALSE)</f>
        <v>MN</v>
      </c>
    </row>
    <row r="170" spans="1:6">
      <c r="A170" t="s">
        <v>37</v>
      </c>
      <c r="B170">
        <v>2000</v>
      </c>
      <c r="C170">
        <v>1</v>
      </c>
      <c r="D170">
        <f>VLOOKUP(A170,hex!$A$1:$D$52,2,FALSE)</f>
        <v>6</v>
      </c>
      <c r="E170">
        <f>VLOOKUP(A170,hex!$A$1:$D$52,3,FALSE)</f>
        <v>6.5</v>
      </c>
      <c r="F170" t="str">
        <f>VLOOKUP(A170,hex!$A$1:$D$52,4,FALSE)</f>
        <v>MS</v>
      </c>
    </row>
    <row r="171" spans="1:6">
      <c r="A171" t="s">
        <v>37</v>
      </c>
      <c r="B171">
        <v>2004</v>
      </c>
      <c r="C171">
        <v>1</v>
      </c>
      <c r="D171">
        <f>VLOOKUP(A171,hex!$A$1:$D$52,2,FALSE)</f>
        <v>6</v>
      </c>
      <c r="E171">
        <f>VLOOKUP(A171,hex!$A$1:$D$52,3,FALSE)</f>
        <v>6.5</v>
      </c>
      <c r="F171" t="str">
        <f>VLOOKUP(A171,hex!$A$1:$D$52,4,FALSE)</f>
        <v>MS</v>
      </c>
    </row>
    <row r="172" spans="1:6">
      <c r="A172" t="s">
        <v>37</v>
      </c>
      <c r="B172">
        <v>2008</v>
      </c>
      <c r="C172">
        <v>1</v>
      </c>
      <c r="D172">
        <f>VLOOKUP(A172,hex!$A$1:$D$52,2,FALSE)</f>
        <v>6</v>
      </c>
      <c r="E172">
        <f>VLOOKUP(A172,hex!$A$1:$D$52,3,FALSE)</f>
        <v>6.5</v>
      </c>
      <c r="F172" t="str">
        <f>VLOOKUP(A172,hex!$A$1:$D$52,4,FALSE)</f>
        <v>MS</v>
      </c>
    </row>
    <row r="173" spans="1:6">
      <c r="A173" t="s">
        <v>37</v>
      </c>
      <c r="B173">
        <v>2012</v>
      </c>
      <c r="C173">
        <v>1</v>
      </c>
      <c r="D173">
        <f>VLOOKUP(A173,hex!$A$1:$D$52,2,FALSE)</f>
        <v>6</v>
      </c>
      <c r="E173">
        <f>VLOOKUP(A173,hex!$A$1:$D$52,3,FALSE)</f>
        <v>6.5</v>
      </c>
      <c r="F173" t="str">
        <f>VLOOKUP(A173,hex!$A$1:$D$52,4,FALSE)</f>
        <v>MS</v>
      </c>
    </row>
    <row r="174" spans="1:6">
      <c r="A174" t="s">
        <v>37</v>
      </c>
      <c r="B174">
        <v>2016</v>
      </c>
      <c r="C174">
        <v>1</v>
      </c>
      <c r="D174">
        <f>VLOOKUP(A174,hex!$A$1:$D$52,2,FALSE)</f>
        <v>6</v>
      </c>
      <c r="E174">
        <f>VLOOKUP(A174,hex!$A$1:$D$52,3,FALSE)</f>
        <v>6.5</v>
      </c>
      <c r="F174" t="str">
        <f>VLOOKUP(A174,hex!$A$1:$D$52,4,FALSE)</f>
        <v>MS</v>
      </c>
    </row>
    <row r="175" spans="1:6">
      <c r="A175" t="s">
        <v>37</v>
      </c>
      <c r="B175">
        <v>2020</v>
      </c>
      <c r="C175">
        <v>1</v>
      </c>
      <c r="D175">
        <f>VLOOKUP(A175,hex!$A$1:$D$52,2,FALSE)</f>
        <v>6</v>
      </c>
      <c r="E175">
        <f>VLOOKUP(A175,hex!$A$1:$D$52,3,FALSE)</f>
        <v>6.5</v>
      </c>
      <c r="F175" t="str">
        <f>VLOOKUP(A175,hex!$A$1:$D$52,4,FALSE)</f>
        <v>MS</v>
      </c>
    </row>
    <row r="176" spans="1:6">
      <c r="A176" t="s">
        <v>37</v>
      </c>
      <c r="B176">
        <v>2024</v>
      </c>
      <c r="C176">
        <v>1</v>
      </c>
      <c r="D176">
        <f>VLOOKUP(A176,hex!$A$1:$D$52,2,FALSE)</f>
        <v>6</v>
      </c>
      <c r="E176">
        <f>VLOOKUP(A176,hex!$A$1:$D$52,3,FALSE)</f>
        <v>6.5</v>
      </c>
      <c r="F176" t="str">
        <f>VLOOKUP(A176,hex!$A$1:$D$52,4,FALSE)</f>
        <v>MS</v>
      </c>
    </row>
    <row r="177" spans="1:6">
      <c r="A177" t="s">
        <v>38</v>
      </c>
      <c r="B177">
        <v>2000</v>
      </c>
      <c r="C177">
        <v>1</v>
      </c>
      <c r="D177">
        <f>VLOOKUP(A177,hex!$A$1:$D$52,2,FALSE)</f>
        <v>4</v>
      </c>
      <c r="E177">
        <f>VLOOKUP(A177,hex!$A$1:$D$52,3,FALSE)</f>
        <v>5.5</v>
      </c>
      <c r="F177" t="str">
        <f>VLOOKUP(A177,hex!$A$1:$D$52,4,FALSE)</f>
        <v>MO</v>
      </c>
    </row>
    <row r="178" spans="1:6">
      <c r="A178" t="s">
        <v>38</v>
      </c>
      <c r="B178">
        <v>2004</v>
      </c>
      <c r="C178">
        <v>1</v>
      </c>
      <c r="D178">
        <f>VLOOKUP(A178,hex!$A$1:$D$52,2,FALSE)</f>
        <v>4</v>
      </c>
      <c r="E178">
        <f>VLOOKUP(A178,hex!$A$1:$D$52,3,FALSE)</f>
        <v>5.5</v>
      </c>
      <c r="F178" t="str">
        <f>VLOOKUP(A178,hex!$A$1:$D$52,4,FALSE)</f>
        <v>MO</v>
      </c>
    </row>
    <row r="179" spans="1:6">
      <c r="A179" t="s">
        <v>38</v>
      </c>
      <c r="B179">
        <v>2008</v>
      </c>
      <c r="C179">
        <v>1</v>
      </c>
      <c r="D179">
        <f>VLOOKUP(A179,hex!$A$1:$D$52,2,FALSE)</f>
        <v>4</v>
      </c>
      <c r="E179">
        <f>VLOOKUP(A179,hex!$A$1:$D$52,3,FALSE)</f>
        <v>5.5</v>
      </c>
      <c r="F179" t="str">
        <f>VLOOKUP(A179,hex!$A$1:$D$52,4,FALSE)</f>
        <v>MO</v>
      </c>
    </row>
    <row r="180" spans="1:6">
      <c r="A180" t="s">
        <v>38</v>
      </c>
      <c r="B180">
        <v>2012</v>
      </c>
      <c r="C180">
        <v>1</v>
      </c>
      <c r="D180">
        <f>VLOOKUP(A180,hex!$A$1:$D$52,2,FALSE)</f>
        <v>4</v>
      </c>
      <c r="E180">
        <f>VLOOKUP(A180,hex!$A$1:$D$52,3,FALSE)</f>
        <v>5.5</v>
      </c>
      <c r="F180" t="str">
        <f>VLOOKUP(A180,hex!$A$1:$D$52,4,FALSE)</f>
        <v>MO</v>
      </c>
    </row>
    <row r="181" spans="1:6">
      <c r="A181" t="s">
        <v>38</v>
      </c>
      <c r="B181">
        <v>2016</v>
      </c>
      <c r="C181">
        <v>2</v>
      </c>
      <c r="D181">
        <f>VLOOKUP(A181,hex!$A$1:$D$52,2,FALSE)</f>
        <v>4</v>
      </c>
      <c r="E181">
        <f>VLOOKUP(A181,hex!$A$1:$D$52,3,FALSE)</f>
        <v>5.5</v>
      </c>
      <c r="F181" t="str">
        <f>VLOOKUP(A181,hex!$A$1:$D$52,4,FALSE)</f>
        <v>MO</v>
      </c>
    </row>
    <row r="182" spans="1:6">
      <c r="A182" t="s">
        <v>38</v>
      </c>
      <c r="B182">
        <v>2020</v>
      </c>
      <c r="C182">
        <v>2</v>
      </c>
      <c r="D182">
        <f>VLOOKUP(A182,hex!$A$1:$D$52,2,FALSE)</f>
        <v>4</v>
      </c>
      <c r="E182">
        <f>VLOOKUP(A182,hex!$A$1:$D$52,3,FALSE)</f>
        <v>5.5</v>
      </c>
      <c r="F182" t="str">
        <f>VLOOKUP(A182,hex!$A$1:$D$52,4,FALSE)</f>
        <v>MO</v>
      </c>
    </row>
    <row r="183" spans="1:6">
      <c r="A183" t="s">
        <v>38</v>
      </c>
      <c r="B183">
        <v>2024</v>
      </c>
      <c r="C183">
        <v>2</v>
      </c>
      <c r="D183">
        <f>VLOOKUP(A183,hex!$A$1:$D$52,2,FALSE)</f>
        <v>4</v>
      </c>
      <c r="E183">
        <f>VLOOKUP(A183,hex!$A$1:$D$52,3,FALSE)</f>
        <v>5.5</v>
      </c>
      <c r="F183" t="str">
        <f>VLOOKUP(A183,hex!$A$1:$D$52,4,FALSE)</f>
        <v>MO</v>
      </c>
    </row>
    <row r="184" spans="1:6">
      <c r="A184" t="s">
        <v>39</v>
      </c>
      <c r="B184">
        <v>2000</v>
      </c>
      <c r="C184">
        <v>1</v>
      </c>
      <c r="D184">
        <f>VLOOKUP(A184,hex!$A$1:$D$52,2,FALSE)</f>
        <v>2</v>
      </c>
      <c r="E184">
        <f>VLOOKUP(A184,hex!$A$1:$D$52,3,FALSE)</f>
        <v>2.5</v>
      </c>
      <c r="F184" t="str">
        <f>VLOOKUP(A184,hex!$A$1:$D$52,4,FALSE)</f>
        <v>MT</v>
      </c>
    </row>
    <row r="185" spans="1:6">
      <c r="A185" t="s">
        <v>39</v>
      </c>
      <c r="B185">
        <v>2004</v>
      </c>
      <c r="C185">
        <v>1</v>
      </c>
      <c r="D185">
        <f>VLOOKUP(A185,hex!$A$1:$D$52,2,FALSE)</f>
        <v>2</v>
      </c>
      <c r="E185">
        <f>VLOOKUP(A185,hex!$A$1:$D$52,3,FALSE)</f>
        <v>2.5</v>
      </c>
      <c r="F185" t="str">
        <f>VLOOKUP(A185,hex!$A$1:$D$52,4,FALSE)</f>
        <v>MT</v>
      </c>
    </row>
    <row r="186" spans="1:6">
      <c r="A186" t="s">
        <v>39</v>
      </c>
      <c r="B186">
        <v>2008</v>
      </c>
      <c r="C186">
        <v>3</v>
      </c>
      <c r="D186">
        <f>VLOOKUP(A186,hex!$A$1:$D$52,2,FALSE)</f>
        <v>2</v>
      </c>
      <c r="E186">
        <f>VLOOKUP(A186,hex!$A$1:$D$52,3,FALSE)</f>
        <v>2.5</v>
      </c>
      <c r="F186" t="str">
        <f>VLOOKUP(A186,hex!$A$1:$D$52,4,FALSE)</f>
        <v>MT</v>
      </c>
    </row>
    <row r="187" spans="1:6">
      <c r="A187" t="s">
        <v>39</v>
      </c>
      <c r="B187">
        <v>2012</v>
      </c>
      <c r="C187">
        <v>3</v>
      </c>
      <c r="D187">
        <f>VLOOKUP(A187,hex!$A$1:$D$52,2,FALSE)</f>
        <v>2</v>
      </c>
      <c r="E187">
        <f>VLOOKUP(A187,hex!$A$1:$D$52,3,FALSE)</f>
        <v>2.5</v>
      </c>
      <c r="F187" t="str">
        <f>VLOOKUP(A187,hex!$A$1:$D$52,4,FALSE)</f>
        <v>MT</v>
      </c>
    </row>
    <row r="188" spans="1:6">
      <c r="A188" t="s">
        <v>39</v>
      </c>
      <c r="B188">
        <v>2016</v>
      </c>
      <c r="C188">
        <v>3</v>
      </c>
      <c r="D188">
        <f>VLOOKUP(A188,hex!$A$1:$D$52,2,FALSE)</f>
        <v>2</v>
      </c>
      <c r="E188">
        <f>VLOOKUP(A188,hex!$A$1:$D$52,3,FALSE)</f>
        <v>2.5</v>
      </c>
      <c r="F188" t="str">
        <f>VLOOKUP(A188,hex!$A$1:$D$52,4,FALSE)</f>
        <v>MT</v>
      </c>
    </row>
    <row r="189" spans="1:6">
      <c r="A189" t="s">
        <v>39</v>
      </c>
      <c r="B189">
        <v>2020</v>
      </c>
      <c r="C189">
        <v>3</v>
      </c>
      <c r="D189">
        <f>VLOOKUP(A189,hex!$A$1:$D$52,2,FALSE)</f>
        <v>2</v>
      </c>
      <c r="E189">
        <f>VLOOKUP(A189,hex!$A$1:$D$52,3,FALSE)</f>
        <v>2.5</v>
      </c>
      <c r="F189" t="str">
        <f>VLOOKUP(A189,hex!$A$1:$D$52,4,FALSE)</f>
        <v>MT</v>
      </c>
    </row>
    <row r="190" spans="1:6">
      <c r="A190" t="s">
        <v>39</v>
      </c>
      <c r="B190">
        <v>2024</v>
      </c>
      <c r="C190">
        <v>3</v>
      </c>
      <c r="D190">
        <f>VLOOKUP(A190,hex!$A$1:$D$52,2,FALSE)</f>
        <v>2</v>
      </c>
      <c r="E190">
        <f>VLOOKUP(A190,hex!$A$1:$D$52,3,FALSE)</f>
        <v>2.5</v>
      </c>
      <c r="F190" t="str">
        <f>VLOOKUP(A190,hex!$A$1:$D$52,4,FALSE)</f>
        <v>MT</v>
      </c>
    </row>
    <row r="191" spans="1:6">
      <c r="A191" t="s">
        <v>40</v>
      </c>
      <c r="B191">
        <v>2000</v>
      </c>
      <c r="C191">
        <v>1</v>
      </c>
      <c r="D191">
        <f>VLOOKUP(A191,hex!$A$1:$D$52,2,FALSE)</f>
        <v>4</v>
      </c>
      <c r="E191">
        <f>VLOOKUP(A191,hex!$A$1:$D$52,3,FALSE)</f>
        <v>4.5</v>
      </c>
      <c r="F191" t="str">
        <f>VLOOKUP(A191,hex!$A$1:$D$52,4,FALSE)</f>
        <v>NE</v>
      </c>
    </row>
    <row r="192" spans="1:6">
      <c r="A192" t="s">
        <v>40</v>
      </c>
      <c r="B192">
        <v>2004</v>
      </c>
      <c r="C192">
        <v>1</v>
      </c>
      <c r="D192">
        <f>VLOOKUP(A192,hex!$A$1:$D$52,2,FALSE)</f>
        <v>4</v>
      </c>
      <c r="E192">
        <f>VLOOKUP(A192,hex!$A$1:$D$52,3,FALSE)</f>
        <v>4.5</v>
      </c>
      <c r="F192" t="str">
        <f>VLOOKUP(A192,hex!$A$1:$D$52,4,FALSE)</f>
        <v>NE</v>
      </c>
    </row>
    <row r="193" spans="1:6">
      <c r="A193" t="s">
        <v>40</v>
      </c>
      <c r="B193">
        <v>2008</v>
      </c>
      <c r="C193">
        <v>1</v>
      </c>
      <c r="D193">
        <f>VLOOKUP(A193,hex!$A$1:$D$52,2,FALSE)</f>
        <v>4</v>
      </c>
      <c r="E193">
        <f>VLOOKUP(A193,hex!$A$1:$D$52,3,FALSE)</f>
        <v>4.5</v>
      </c>
      <c r="F193" t="str">
        <f>VLOOKUP(A193,hex!$A$1:$D$52,4,FALSE)</f>
        <v>NE</v>
      </c>
    </row>
    <row r="194" spans="1:6">
      <c r="A194" t="s">
        <v>40</v>
      </c>
      <c r="B194">
        <v>2012</v>
      </c>
      <c r="C194">
        <v>1</v>
      </c>
      <c r="D194">
        <f>VLOOKUP(A194,hex!$A$1:$D$52,2,FALSE)</f>
        <v>4</v>
      </c>
      <c r="E194">
        <f>VLOOKUP(A194,hex!$A$1:$D$52,3,FALSE)</f>
        <v>4.5</v>
      </c>
      <c r="F194" t="str">
        <f>VLOOKUP(A194,hex!$A$1:$D$52,4,FALSE)</f>
        <v>NE</v>
      </c>
    </row>
    <row r="195" spans="1:6">
      <c r="A195" t="s">
        <v>40</v>
      </c>
      <c r="B195">
        <v>2016</v>
      </c>
      <c r="C195">
        <v>2</v>
      </c>
      <c r="D195">
        <f>VLOOKUP(A195,hex!$A$1:$D$52,2,FALSE)</f>
        <v>4</v>
      </c>
      <c r="E195">
        <f>VLOOKUP(A195,hex!$A$1:$D$52,3,FALSE)</f>
        <v>4.5</v>
      </c>
      <c r="F195" t="str">
        <f>VLOOKUP(A195,hex!$A$1:$D$52,4,FALSE)</f>
        <v>NE</v>
      </c>
    </row>
    <row r="196" spans="1:6">
      <c r="A196" t="s">
        <v>40</v>
      </c>
      <c r="B196">
        <v>2020</v>
      </c>
      <c r="C196">
        <v>2</v>
      </c>
      <c r="D196">
        <f>VLOOKUP(A196,hex!$A$1:$D$52,2,FALSE)</f>
        <v>4</v>
      </c>
      <c r="E196">
        <f>VLOOKUP(A196,hex!$A$1:$D$52,3,FALSE)</f>
        <v>4.5</v>
      </c>
      <c r="F196" t="str">
        <f>VLOOKUP(A196,hex!$A$1:$D$52,4,FALSE)</f>
        <v>NE</v>
      </c>
    </row>
    <row r="197" spans="1:6">
      <c r="A197" t="s">
        <v>40</v>
      </c>
      <c r="B197">
        <v>2024</v>
      </c>
      <c r="C197">
        <v>2</v>
      </c>
      <c r="D197">
        <f>VLOOKUP(A197,hex!$A$1:$D$52,2,FALSE)</f>
        <v>4</v>
      </c>
      <c r="E197">
        <f>VLOOKUP(A197,hex!$A$1:$D$52,3,FALSE)</f>
        <v>4.5</v>
      </c>
      <c r="F197" t="str">
        <f>VLOOKUP(A197,hex!$A$1:$D$52,4,FALSE)</f>
        <v>NE</v>
      </c>
    </row>
    <row r="198" spans="1:6">
      <c r="A198" t="s">
        <v>41</v>
      </c>
      <c r="B198">
        <v>2000</v>
      </c>
      <c r="C198">
        <v>1</v>
      </c>
      <c r="D198">
        <f>VLOOKUP(A198,hex!$A$1:$D$52,2,FALSE)</f>
        <v>4</v>
      </c>
      <c r="E198">
        <f>VLOOKUP(A198,hex!$A$1:$D$52,3,FALSE)</f>
        <v>2.5</v>
      </c>
      <c r="F198" t="str">
        <f>VLOOKUP(A198,hex!$A$1:$D$52,4,FALSE)</f>
        <v>NV</v>
      </c>
    </row>
    <row r="199" spans="1:6">
      <c r="A199" t="s">
        <v>41</v>
      </c>
      <c r="B199">
        <v>2004</v>
      </c>
      <c r="C199">
        <v>1</v>
      </c>
      <c r="D199">
        <f>VLOOKUP(A199,hex!$A$1:$D$52,2,FALSE)</f>
        <v>4</v>
      </c>
      <c r="E199">
        <f>VLOOKUP(A199,hex!$A$1:$D$52,3,FALSE)</f>
        <v>2.5</v>
      </c>
      <c r="F199" t="str">
        <f>VLOOKUP(A199,hex!$A$1:$D$52,4,FALSE)</f>
        <v>NV</v>
      </c>
    </row>
    <row r="200" spans="1:6">
      <c r="A200" t="s">
        <v>41</v>
      </c>
      <c r="B200">
        <v>2008</v>
      </c>
      <c r="C200">
        <v>1</v>
      </c>
      <c r="D200">
        <f>VLOOKUP(A200,hex!$A$1:$D$52,2,FALSE)</f>
        <v>4</v>
      </c>
      <c r="E200">
        <f>VLOOKUP(A200,hex!$A$1:$D$52,3,FALSE)</f>
        <v>2.5</v>
      </c>
      <c r="F200" t="str">
        <f>VLOOKUP(A200,hex!$A$1:$D$52,4,FALSE)</f>
        <v>NV</v>
      </c>
    </row>
    <row r="201" spans="1:6">
      <c r="A201" t="s">
        <v>41</v>
      </c>
      <c r="B201">
        <v>2012</v>
      </c>
      <c r="C201">
        <v>2</v>
      </c>
      <c r="D201">
        <f>VLOOKUP(A201,hex!$A$1:$D$52,2,FALSE)</f>
        <v>4</v>
      </c>
      <c r="E201">
        <f>VLOOKUP(A201,hex!$A$1:$D$52,3,FALSE)</f>
        <v>2.5</v>
      </c>
      <c r="F201" t="str">
        <f>VLOOKUP(A201,hex!$A$1:$D$52,4,FALSE)</f>
        <v>NV</v>
      </c>
    </row>
    <row r="202" spans="1:6">
      <c r="A202" t="s">
        <v>41</v>
      </c>
      <c r="B202">
        <v>2016</v>
      </c>
      <c r="C202">
        <v>2</v>
      </c>
      <c r="D202">
        <f>VLOOKUP(A202,hex!$A$1:$D$52,2,FALSE)</f>
        <v>4</v>
      </c>
      <c r="E202">
        <f>VLOOKUP(A202,hex!$A$1:$D$52,3,FALSE)</f>
        <v>2.5</v>
      </c>
      <c r="F202" t="str">
        <f>VLOOKUP(A202,hex!$A$1:$D$52,4,FALSE)</f>
        <v>NV</v>
      </c>
    </row>
    <row r="203" spans="1:6">
      <c r="A203" t="s">
        <v>41</v>
      </c>
      <c r="B203">
        <v>2020</v>
      </c>
      <c r="C203">
        <v>6</v>
      </c>
      <c r="D203">
        <f>VLOOKUP(A203,hex!$A$1:$D$52,2,FALSE)</f>
        <v>4</v>
      </c>
      <c r="E203">
        <f>VLOOKUP(A203,hex!$A$1:$D$52,3,FALSE)</f>
        <v>2.5</v>
      </c>
      <c r="F203" t="str">
        <f>VLOOKUP(A203,hex!$A$1:$D$52,4,FALSE)</f>
        <v>NV</v>
      </c>
    </row>
    <row r="204" spans="1:6">
      <c r="A204" t="s">
        <v>41</v>
      </c>
      <c r="B204">
        <v>2024</v>
      </c>
      <c r="C204">
        <v>6</v>
      </c>
      <c r="D204">
        <f>VLOOKUP(A204,hex!$A$1:$D$52,2,FALSE)</f>
        <v>4</v>
      </c>
      <c r="E204">
        <f>VLOOKUP(A204,hex!$A$1:$D$52,3,FALSE)</f>
        <v>2.5</v>
      </c>
      <c r="F204" t="str">
        <f>VLOOKUP(A204,hex!$A$1:$D$52,4,FALSE)</f>
        <v>NV</v>
      </c>
    </row>
    <row r="205" spans="1:6">
      <c r="A205" t="s">
        <v>42</v>
      </c>
      <c r="B205">
        <v>2000</v>
      </c>
      <c r="C205">
        <v>3</v>
      </c>
      <c r="D205">
        <f>VLOOKUP(A205,hex!$A$1:$D$52,2,FALSE)</f>
        <v>1</v>
      </c>
      <c r="E205">
        <f>VLOOKUP(A205,hex!$A$1:$D$52,3,FALSE)</f>
        <v>11</v>
      </c>
      <c r="F205" t="str">
        <f>VLOOKUP(A205,hex!$A$1:$D$52,4,FALSE)</f>
        <v>NH</v>
      </c>
    </row>
    <row r="206" spans="1:6">
      <c r="A206" t="s">
        <v>42</v>
      </c>
      <c r="B206">
        <v>2004</v>
      </c>
      <c r="C206">
        <v>3</v>
      </c>
      <c r="D206">
        <f>VLOOKUP(A206,hex!$A$1:$D$52,2,FALSE)</f>
        <v>1</v>
      </c>
      <c r="E206">
        <f>VLOOKUP(A206,hex!$A$1:$D$52,3,FALSE)</f>
        <v>11</v>
      </c>
      <c r="F206" t="str">
        <f>VLOOKUP(A206,hex!$A$1:$D$52,4,FALSE)</f>
        <v>NH</v>
      </c>
    </row>
    <row r="207" spans="1:6">
      <c r="A207" t="s">
        <v>42</v>
      </c>
      <c r="B207">
        <v>2008</v>
      </c>
      <c r="C207">
        <v>3</v>
      </c>
      <c r="D207">
        <f>VLOOKUP(A207,hex!$A$1:$D$52,2,FALSE)</f>
        <v>1</v>
      </c>
      <c r="E207">
        <f>VLOOKUP(A207,hex!$A$1:$D$52,3,FALSE)</f>
        <v>11</v>
      </c>
      <c r="F207" t="str">
        <f>VLOOKUP(A207,hex!$A$1:$D$52,4,FALSE)</f>
        <v>NH</v>
      </c>
    </row>
    <row r="208" spans="1:6">
      <c r="A208" t="s">
        <v>42</v>
      </c>
      <c r="B208">
        <v>2012</v>
      </c>
      <c r="C208">
        <v>3</v>
      </c>
      <c r="D208">
        <f>VLOOKUP(A208,hex!$A$1:$D$52,2,FALSE)</f>
        <v>1</v>
      </c>
      <c r="E208">
        <f>VLOOKUP(A208,hex!$A$1:$D$52,3,FALSE)</f>
        <v>11</v>
      </c>
      <c r="F208" t="str">
        <f>VLOOKUP(A208,hex!$A$1:$D$52,4,FALSE)</f>
        <v>NH</v>
      </c>
    </row>
    <row r="209" spans="1:6">
      <c r="A209" t="s">
        <v>42</v>
      </c>
      <c r="B209">
        <v>2016</v>
      </c>
      <c r="C209">
        <v>3</v>
      </c>
      <c r="D209">
        <f>VLOOKUP(A209,hex!$A$1:$D$52,2,FALSE)</f>
        <v>1</v>
      </c>
      <c r="E209">
        <f>VLOOKUP(A209,hex!$A$1:$D$52,3,FALSE)</f>
        <v>11</v>
      </c>
      <c r="F209" t="str">
        <f>VLOOKUP(A209,hex!$A$1:$D$52,4,FALSE)</f>
        <v>NH</v>
      </c>
    </row>
    <row r="210" spans="1:6">
      <c r="A210" t="s">
        <v>42</v>
      </c>
      <c r="B210">
        <v>2020</v>
      </c>
      <c r="C210">
        <v>3</v>
      </c>
      <c r="D210">
        <f>VLOOKUP(A210,hex!$A$1:$D$52,2,FALSE)</f>
        <v>1</v>
      </c>
      <c r="E210">
        <f>VLOOKUP(A210,hex!$A$1:$D$52,3,FALSE)</f>
        <v>11</v>
      </c>
      <c r="F210" t="str">
        <f>VLOOKUP(A210,hex!$A$1:$D$52,4,FALSE)</f>
        <v>NH</v>
      </c>
    </row>
    <row r="211" spans="1:6">
      <c r="A211" t="s">
        <v>42</v>
      </c>
      <c r="B211">
        <v>2024</v>
      </c>
      <c r="C211">
        <v>3</v>
      </c>
      <c r="D211">
        <f>VLOOKUP(A211,hex!$A$1:$D$52,2,FALSE)</f>
        <v>1</v>
      </c>
      <c r="E211">
        <f>VLOOKUP(A211,hex!$A$1:$D$52,3,FALSE)</f>
        <v>11</v>
      </c>
      <c r="F211" t="str">
        <f>VLOOKUP(A211,hex!$A$1:$D$52,4,FALSE)</f>
        <v>NH</v>
      </c>
    </row>
    <row r="212" spans="1:6">
      <c r="A212" t="s">
        <v>43</v>
      </c>
      <c r="B212">
        <v>2000</v>
      </c>
      <c r="C212">
        <v>1</v>
      </c>
      <c r="D212">
        <f>VLOOKUP(A212,hex!$A$1:$D$52,2,FALSE)</f>
        <v>3</v>
      </c>
      <c r="E212">
        <f>VLOOKUP(A212,hex!$A$1:$D$52,3,FALSE)</f>
        <v>10</v>
      </c>
      <c r="F212" t="str">
        <f>VLOOKUP(A212,hex!$A$1:$D$52,4,FALSE)</f>
        <v>NJ</v>
      </c>
    </row>
    <row r="213" spans="1:6">
      <c r="A213" t="s">
        <v>43</v>
      </c>
      <c r="B213">
        <v>2004</v>
      </c>
      <c r="C213">
        <v>1</v>
      </c>
      <c r="D213">
        <f>VLOOKUP(A213,hex!$A$1:$D$52,2,FALSE)</f>
        <v>3</v>
      </c>
      <c r="E213">
        <f>VLOOKUP(A213,hex!$A$1:$D$52,3,FALSE)</f>
        <v>10</v>
      </c>
      <c r="F213" t="str">
        <f>VLOOKUP(A213,hex!$A$1:$D$52,4,FALSE)</f>
        <v>NJ</v>
      </c>
    </row>
    <row r="214" spans="1:6">
      <c r="A214" t="s">
        <v>43</v>
      </c>
      <c r="B214">
        <v>2008</v>
      </c>
      <c r="C214">
        <v>1</v>
      </c>
      <c r="D214">
        <f>VLOOKUP(A214,hex!$A$1:$D$52,2,FALSE)</f>
        <v>3</v>
      </c>
      <c r="E214">
        <f>VLOOKUP(A214,hex!$A$1:$D$52,3,FALSE)</f>
        <v>10</v>
      </c>
      <c r="F214" t="str">
        <f>VLOOKUP(A214,hex!$A$1:$D$52,4,FALSE)</f>
        <v>NJ</v>
      </c>
    </row>
    <row r="215" spans="1:6">
      <c r="A215" t="s">
        <v>43</v>
      </c>
      <c r="B215">
        <v>2012</v>
      </c>
      <c r="C215">
        <v>1</v>
      </c>
      <c r="D215">
        <f>VLOOKUP(A215,hex!$A$1:$D$52,2,FALSE)</f>
        <v>3</v>
      </c>
      <c r="E215">
        <f>VLOOKUP(A215,hex!$A$1:$D$52,3,FALSE)</f>
        <v>10</v>
      </c>
      <c r="F215" t="str">
        <f>VLOOKUP(A215,hex!$A$1:$D$52,4,FALSE)</f>
        <v>NJ</v>
      </c>
    </row>
    <row r="216" spans="1:6">
      <c r="A216" t="s">
        <v>43</v>
      </c>
      <c r="B216">
        <v>2016</v>
      </c>
      <c r="C216">
        <v>1</v>
      </c>
      <c r="D216">
        <f>VLOOKUP(A216,hex!$A$1:$D$52,2,FALSE)</f>
        <v>3</v>
      </c>
      <c r="E216">
        <f>VLOOKUP(A216,hex!$A$1:$D$52,3,FALSE)</f>
        <v>10</v>
      </c>
      <c r="F216" t="str">
        <f>VLOOKUP(A216,hex!$A$1:$D$52,4,FALSE)</f>
        <v>NJ</v>
      </c>
    </row>
    <row r="217" spans="1:6">
      <c r="A217" t="s">
        <v>43</v>
      </c>
      <c r="B217">
        <v>2020</v>
      </c>
      <c r="C217">
        <v>4</v>
      </c>
      <c r="D217">
        <f>VLOOKUP(A217,hex!$A$1:$D$52,2,FALSE)</f>
        <v>3</v>
      </c>
      <c r="E217">
        <f>VLOOKUP(A217,hex!$A$1:$D$52,3,FALSE)</f>
        <v>10</v>
      </c>
      <c r="F217" t="str">
        <f>VLOOKUP(A217,hex!$A$1:$D$52,4,FALSE)</f>
        <v>NJ</v>
      </c>
    </row>
    <row r="218" spans="1:6">
      <c r="A218" t="s">
        <v>43</v>
      </c>
      <c r="B218">
        <v>2024</v>
      </c>
      <c r="C218">
        <v>4</v>
      </c>
      <c r="D218">
        <f>VLOOKUP(A218,hex!$A$1:$D$52,2,FALSE)</f>
        <v>3</v>
      </c>
      <c r="E218">
        <f>VLOOKUP(A218,hex!$A$1:$D$52,3,FALSE)</f>
        <v>10</v>
      </c>
      <c r="F218" t="str">
        <f>VLOOKUP(A218,hex!$A$1:$D$52,4,FALSE)</f>
        <v>NJ</v>
      </c>
    </row>
    <row r="219" spans="1:6">
      <c r="A219" t="s">
        <v>44</v>
      </c>
      <c r="B219">
        <v>2000</v>
      </c>
      <c r="C219">
        <v>1</v>
      </c>
      <c r="D219">
        <f>VLOOKUP(A219,hex!$A$1:$D$52,2,FALSE)</f>
        <v>6</v>
      </c>
      <c r="E219">
        <f>VLOOKUP(A219,hex!$A$1:$D$52,3,FALSE)</f>
        <v>3.5</v>
      </c>
      <c r="F219" t="str">
        <f>VLOOKUP(A219,hex!$A$1:$D$52,4,FALSE)</f>
        <v>NM</v>
      </c>
    </row>
    <row r="220" spans="1:6">
      <c r="A220" t="s">
        <v>44</v>
      </c>
      <c r="B220">
        <v>2004</v>
      </c>
      <c r="C220">
        <v>1</v>
      </c>
      <c r="D220">
        <f>VLOOKUP(A220,hex!$A$1:$D$52,2,FALSE)</f>
        <v>6</v>
      </c>
      <c r="E220">
        <f>VLOOKUP(A220,hex!$A$1:$D$52,3,FALSE)</f>
        <v>3.5</v>
      </c>
      <c r="F220" t="str">
        <f>VLOOKUP(A220,hex!$A$1:$D$52,4,FALSE)</f>
        <v>NM</v>
      </c>
    </row>
    <row r="221" spans="1:6">
      <c r="A221" t="s">
        <v>44</v>
      </c>
      <c r="B221">
        <v>2008</v>
      </c>
      <c r="C221">
        <v>1</v>
      </c>
      <c r="D221">
        <f>VLOOKUP(A221,hex!$A$1:$D$52,2,FALSE)</f>
        <v>6</v>
      </c>
      <c r="E221">
        <f>VLOOKUP(A221,hex!$A$1:$D$52,3,FALSE)</f>
        <v>3.5</v>
      </c>
      <c r="F221" t="str">
        <f>VLOOKUP(A221,hex!$A$1:$D$52,4,FALSE)</f>
        <v>NM</v>
      </c>
    </row>
    <row r="222" spans="1:6">
      <c r="A222" t="s">
        <v>44</v>
      </c>
      <c r="B222">
        <v>2012</v>
      </c>
      <c r="C222">
        <v>1</v>
      </c>
      <c r="D222">
        <f>VLOOKUP(A222,hex!$A$1:$D$52,2,FALSE)</f>
        <v>6</v>
      </c>
      <c r="E222">
        <f>VLOOKUP(A222,hex!$A$1:$D$52,3,FALSE)</f>
        <v>3.5</v>
      </c>
      <c r="F222" t="str">
        <f>VLOOKUP(A222,hex!$A$1:$D$52,4,FALSE)</f>
        <v>NM</v>
      </c>
    </row>
    <row r="223" spans="1:6">
      <c r="A223" t="s">
        <v>44</v>
      </c>
      <c r="B223">
        <v>2016</v>
      </c>
      <c r="C223">
        <v>2</v>
      </c>
      <c r="D223">
        <f>VLOOKUP(A223,hex!$A$1:$D$52,2,FALSE)</f>
        <v>6</v>
      </c>
      <c r="E223">
        <f>VLOOKUP(A223,hex!$A$1:$D$52,3,FALSE)</f>
        <v>3.5</v>
      </c>
      <c r="F223" t="str">
        <f>VLOOKUP(A223,hex!$A$1:$D$52,4,FALSE)</f>
        <v>NM</v>
      </c>
    </row>
    <row r="224" spans="1:6">
      <c r="A224" t="s">
        <v>44</v>
      </c>
      <c r="B224">
        <v>2020</v>
      </c>
      <c r="C224">
        <v>6</v>
      </c>
      <c r="D224">
        <f>VLOOKUP(A224,hex!$A$1:$D$52,2,FALSE)</f>
        <v>6</v>
      </c>
      <c r="E224">
        <f>VLOOKUP(A224,hex!$A$1:$D$52,3,FALSE)</f>
        <v>3.5</v>
      </c>
      <c r="F224" t="str">
        <f>VLOOKUP(A224,hex!$A$1:$D$52,4,FALSE)</f>
        <v>NM</v>
      </c>
    </row>
    <row r="225" spans="1:6">
      <c r="A225" t="s">
        <v>44</v>
      </c>
      <c r="B225">
        <v>2024</v>
      </c>
      <c r="C225">
        <v>6</v>
      </c>
      <c r="D225">
        <f>VLOOKUP(A225,hex!$A$1:$D$52,2,FALSE)</f>
        <v>6</v>
      </c>
      <c r="E225">
        <f>VLOOKUP(A225,hex!$A$1:$D$52,3,FALSE)</f>
        <v>3.5</v>
      </c>
      <c r="F225" t="str">
        <f>VLOOKUP(A225,hex!$A$1:$D$52,4,FALSE)</f>
        <v>NM</v>
      </c>
    </row>
    <row r="226" spans="1:6">
      <c r="A226" t="s">
        <v>46</v>
      </c>
      <c r="B226">
        <v>2000</v>
      </c>
      <c r="C226">
        <v>1</v>
      </c>
      <c r="D226">
        <f>VLOOKUP(A226,hex!$A$1:$D$52,2,FALSE)</f>
        <v>2</v>
      </c>
      <c r="E226">
        <f>VLOOKUP(A226,hex!$A$1:$D$52,3,FALSE)</f>
        <v>9.5</v>
      </c>
      <c r="F226" t="str">
        <f>VLOOKUP(A226,hex!$A$1:$D$52,4,FALSE)</f>
        <v>NY</v>
      </c>
    </row>
    <row r="227" spans="1:6">
      <c r="A227" t="s">
        <v>46</v>
      </c>
      <c r="B227">
        <v>2004</v>
      </c>
      <c r="C227">
        <v>1</v>
      </c>
      <c r="D227">
        <f>VLOOKUP(A227,hex!$A$1:$D$52,2,FALSE)</f>
        <v>2</v>
      </c>
      <c r="E227">
        <f>VLOOKUP(A227,hex!$A$1:$D$52,3,FALSE)</f>
        <v>9.5</v>
      </c>
      <c r="F227" t="str">
        <f>VLOOKUP(A227,hex!$A$1:$D$52,4,FALSE)</f>
        <v>NY</v>
      </c>
    </row>
    <row r="228" spans="1:6">
      <c r="A228" t="s">
        <v>46</v>
      </c>
      <c r="B228">
        <v>2008</v>
      </c>
      <c r="C228">
        <v>1</v>
      </c>
      <c r="D228">
        <f>VLOOKUP(A228,hex!$A$1:$D$52,2,FALSE)</f>
        <v>2</v>
      </c>
      <c r="E228">
        <f>VLOOKUP(A228,hex!$A$1:$D$52,3,FALSE)</f>
        <v>9.5</v>
      </c>
      <c r="F228" t="str">
        <f>VLOOKUP(A228,hex!$A$1:$D$52,4,FALSE)</f>
        <v>NY</v>
      </c>
    </row>
    <row r="229" spans="1:6">
      <c r="A229" t="s">
        <v>46</v>
      </c>
      <c r="B229">
        <v>2012</v>
      </c>
      <c r="C229">
        <v>1</v>
      </c>
      <c r="D229">
        <f>VLOOKUP(A229,hex!$A$1:$D$52,2,FALSE)</f>
        <v>2</v>
      </c>
      <c r="E229">
        <f>VLOOKUP(A229,hex!$A$1:$D$52,3,FALSE)</f>
        <v>9.5</v>
      </c>
      <c r="F229" t="str">
        <f>VLOOKUP(A229,hex!$A$1:$D$52,4,FALSE)</f>
        <v>NY</v>
      </c>
    </row>
    <row r="230" spans="1:6">
      <c r="A230" t="s">
        <v>46</v>
      </c>
      <c r="B230">
        <v>2016</v>
      </c>
      <c r="C230">
        <v>1</v>
      </c>
      <c r="D230">
        <f>VLOOKUP(A230,hex!$A$1:$D$52,2,FALSE)</f>
        <v>2</v>
      </c>
      <c r="E230">
        <f>VLOOKUP(A230,hex!$A$1:$D$52,3,FALSE)</f>
        <v>9.5</v>
      </c>
      <c r="F230" t="str">
        <f>VLOOKUP(A230,hex!$A$1:$D$52,4,FALSE)</f>
        <v>NY</v>
      </c>
    </row>
    <row r="231" spans="1:6">
      <c r="A231" t="s">
        <v>46</v>
      </c>
      <c r="B231">
        <v>2020</v>
      </c>
      <c r="C231">
        <v>1</v>
      </c>
      <c r="D231">
        <f>VLOOKUP(A231,hex!$A$1:$D$52,2,FALSE)</f>
        <v>2</v>
      </c>
      <c r="E231">
        <f>VLOOKUP(A231,hex!$A$1:$D$52,3,FALSE)</f>
        <v>9.5</v>
      </c>
      <c r="F231" t="str">
        <f>VLOOKUP(A231,hex!$A$1:$D$52,4,FALSE)</f>
        <v>NY</v>
      </c>
    </row>
    <row r="232" spans="1:6">
      <c r="A232" t="s">
        <v>46</v>
      </c>
      <c r="B232">
        <v>2024</v>
      </c>
      <c r="C232">
        <v>5</v>
      </c>
      <c r="D232">
        <f>VLOOKUP(A232,hex!$A$1:$D$52,2,FALSE)</f>
        <v>2</v>
      </c>
      <c r="E232">
        <f>VLOOKUP(A232,hex!$A$1:$D$52,3,FALSE)</f>
        <v>9.5</v>
      </c>
      <c r="F232" t="str">
        <f>VLOOKUP(A232,hex!$A$1:$D$52,4,FALSE)</f>
        <v>NY</v>
      </c>
    </row>
    <row r="233" spans="1:6">
      <c r="A233" t="s">
        <v>47</v>
      </c>
      <c r="B233">
        <v>2000</v>
      </c>
      <c r="C233">
        <v>1</v>
      </c>
      <c r="D233">
        <f>VLOOKUP(A233,hex!$A$1:$D$52,2,FALSE)</f>
        <v>5</v>
      </c>
      <c r="E233">
        <f>VLOOKUP(A233,hex!$A$1:$D$52,3,FALSE)</f>
        <v>9</v>
      </c>
      <c r="F233" t="str">
        <f>VLOOKUP(A233,hex!$A$1:$D$52,4,FALSE)</f>
        <v>NC</v>
      </c>
    </row>
    <row r="234" spans="1:6">
      <c r="A234" t="s">
        <v>47</v>
      </c>
      <c r="B234">
        <v>2004</v>
      </c>
      <c r="C234">
        <v>1</v>
      </c>
      <c r="D234">
        <f>VLOOKUP(A234,hex!$A$1:$D$52,2,FALSE)</f>
        <v>5</v>
      </c>
      <c r="E234">
        <f>VLOOKUP(A234,hex!$A$1:$D$52,3,FALSE)</f>
        <v>9</v>
      </c>
      <c r="F234" t="str">
        <f>VLOOKUP(A234,hex!$A$1:$D$52,4,FALSE)</f>
        <v>NC</v>
      </c>
    </row>
    <row r="235" spans="1:6">
      <c r="A235" t="s">
        <v>47</v>
      </c>
      <c r="B235">
        <v>2008</v>
      </c>
      <c r="C235">
        <v>3</v>
      </c>
      <c r="D235">
        <f>VLOOKUP(A235,hex!$A$1:$D$52,2,FALSE)</f>
        <v>5</v>
      </c>
      <c r="E235">
        <f>VLOOKUP(A235,hex!$A$1:$D$52,3,FALSE)</f>
        <v>9</v>
      </c>
      <c r="F235" t="str">
        <f>VLOOKUP(A235,hex!$A$1:$D$52,4,FALSE)</f>
        <v>NC</v>
      </c>
    </row>
    <row r="236" spans="1:6">
      <c r="A236" t="s">
        <v>47</v>
      </c>
      <c r="B236">
        <v>2012</v>
      </c>
      <c r="C236">
        <v>3</v>
      </c>
      <c r="D236">
        <f>VLOOKUP(A236,hex!$A$1:$D$52,2,FALSE)</f>
        <v>5</v>
      </c>
      <c r="E236">
        <f>VLOOKUP(A236,hex!$A$1:$D$52,3,FALSE)</f>
        <v>9</v>
      </c>
      <c r="F236" t="str">
        <f>VLOOKUP(A236,hex!$A$1:$D$52,4,FALSE)</f>
        <v>NC</v>
      </c>
    </row>
    <row r="237" spans="1:6">
      <c r="A237" t="s">
        <v>47</v>
      </c>
      <c r="B237">
        <v>2016</v>
      </c>
      <c r="C237">
        <v>3</v>
      </c>
      <c r="D237">
        <f>VLOOKUP(A237,hex!$A$1:$D$52,2,FALSE)</f>
        <v>5</v>
      </c>
      <c r="E237">
        <f>VLOOKUP(A237,hex!$A$1:$D$52,3,FALSE)</f>
        <v>9</v>
      </c>
      <c r="F237" t="str">
        <f>VLOOKUP(A237,hex!$A$1:$D$52,4,FALSE)</f>
        <v>NC</v>
      </c>
    </row>
    <row r="238" spans="1:6">
      <c r="A238" t="s">
        <v>47</v>
      </c>
      <c r="B238">
        <v>2020</v>
      </c>
      <c r="C238">
        <v>5</v>
      </c>
      <c r="D238">
        <f>VLOOKUP(A238,hex!$A$1:$D$52,2,FALSE)</f>
        <v>5</v>
      </c>
      <c r="E238">
        <f>VLOOKUP(A238,hex!$A$1:$D$52,3,FALSE)</f>
        <v>9</v>
      </c>
      <c r="F238" t="str">
        <f>VLOOKUP(A238,hex!$A$1:$D$52,4,FALSE)</f>
        <v>NC</v>
      </c>
    </row>
    <row r="239" spans="1:6">
      <c r="A239" t="s">
        <v>47</v>
      </c>
      <c r="B239">
        <v>2024</v>
      </c>
      <c r="C239">
        <v>5</v>
      </c>
      <c r="D239">
        <f>VLOOKUP(A239,hex!$A$1:$D$52,2,FALSE)</f>
        <v>5</v>
      </c>
      <c r="E239">
        <f>VLOOKUP(A239,hex!$A$1:$D$52,3,FALSE)</f>
        <v>9</v>
      </c>
      <c r="F239" t="str">
        <f>VLOOKUP(A239,hex!$A$1:$D$52,4,FALSE)</f>
        <v>NC</v>
      </c>
    </row>
    <row r="240" spans="1:6">
      <c r="A240" t="s">
        <v>48</v>
      </c>
      <c r="B240">
        <v>2000</v>
      </c>
      <c r="C240">
        <v>3</v>
      </c>
      <c r="D240">
        <f>VLOOKUP(A240,hex!$A$1:$D$52,2,FALSE)</f>
        <v>2</v>
      </c>
      <c r="E240">
        <f>VLOOKUP(A240,hex!$A$1:$D$52,3,FALSE)</f>
        <v>3.5</v>
      </c>
      <c r="F240" t="str">
        <f>VLOOKUP(A240,hex!$A$1:$D$52,4,FALSE)</f>
        <v>ND</v>
      </c>
    </row>
    <row r="241" spans="1:6">
      <c r="A241" t="s">
        <v>48</v>
      </c>
      <c r="B241">
        <v>2004</v>
      </c>
      <c r="C241">
        <v>3</v>
      </c>
      <c r="D241">
        <f>VLOOKUP(A241,hex!$A$1:$D$52,2,FALSE)</f>
        <v>2</v>
      </c>
      <c r="E241">
        <f>VLOOKUP(A241,hex!$A$1:$D$52,3,FALSE)</f>
        <v>3.5</v>
      </c>
      <c r="F241" t="str">
        <f>VLOOKUP(A241,hex!$A$1:$D$52,4,FALSE)</f>
        <v>ND</v>
      </c>
    </row>
    <row r="242" spans="1:6">
      <c r="A242" t="s">
        <v>48</v>
      </c>
      <c r="B242">
        <v>2008</v>
      </c>
      <c r="C242">
        <v>3</v>
      </c>
      <c r="D242">
        <f>VLOOKUP(A242,hex!$A$1:$D$52,2,FALSE)</f>
        <v>2</v>
      </c>
      <c r="E242">
        <f>VLOOKUP(A242,hex!$A$1:$D$52,3,FALSE)</f>
        <v>3.5</v>
      </c>
      <c r="F242" t="str">
        <f>VLOOKUP(A242,hex!$A$1:$D$52,4,FALSE)</f>
        <v>ND</v>
      </c>
    </row>
    <row r="243" spans="1:6">
      <c r="A243" t="s">
        <v>48</v>
      </c>
      <c r="B243">
        <v>2012</v>
      </c>
      <c r="C243">
        <v>3</v>
      </c>
      <c r="D243">
        <f>VLOOKUP(A243,hex!$A$1:$D$52,2,FALSE)</f>
        <v>2</v>
      </c>
      <c r="E243">
        <f>VLOOKUP(A243,hex!$A$1:$D$52,3,FALSE)</f>
        <v>3.5</v>
      </c>
      <c r="F243" t="str">
        <f>VLOOKUP(A243,hex!$A$1:$D$52,4,FALSE)</f>
        <v>ND</v>
      </c>
    </row>
    <row r="244" spans="1:6">
      <c r="A244" t="s">
        <v>48</v>
      </c>
      <c r="B244">
        <v>2016</v>
      </c>
      <c r="C244">
        <v>3</v>
      </c>
      <c r="D244">
        <f>VLOOKUP(A244,hex!$A$1:$D$52,2,FALSE)</f>
        <v>2</v>
      </c>
      <c r="E244">
        <f>VLOOKUP(A244,hex!$A$1:$D$52,3,FALSE)</f>
        <v>3.5</v>
      </c>
      <c r="F244" t="str">
        <f>VLOOKUP(A244,hex!$A$1:$D$52,4,FALSE)</f>
        <v>ND</v>
      </c>
    </row>
    <row r="245" spans="1:6">
      <c r="A245" t="s">
        <v>48</v>
      </c>
      <c r="B245">
        <v>2020</v>
      </c>
      <c r="C245">
        <v>3</v>
      </c>
      <c r="D245">
        <f>VLOOKUP(A245,hex!$A$1:$D$52,2,FALSE)</f>
        <v>2</v>
      </c>
      <c r="E245">
        <f>VLOOKUP(A245,hex!$A$1:$D$52,3,FALSE)</f>
        <v>3.5</v>
      </c>
      <c r="F245" t="str">
        <f>VLOOKUP(A245,hex!$A$1:$D$52,4,FALSE)</f>
        <v>ND</v>
      </c>
    </row>
    <row r="246" spans="1:6">
      <c r="A246" t="s">
        <v>48</v>
      </c>
      <c r="B246">
        <v>2024</v>
      </c>
      <c r="C246">
        <v>3</v>
      </c>
      <c r="D246">
        <f>VLOOKUP(A246,hex!$A$1:$D$52,2,FALSE)</f>
        <v>2</v>
      </c>
      <c r="E246">
        <f>VLOOKUP(A246,hex!$A$1:$D$52,3,FALSE)</f>
        <v>3.5</v>
      </c>
      <c r="F246" t="str">
        <f>VLOOKUP(A246,hex!$A$1:$D$52,4,FALSE)</f>
        <v>ND</v>
      </c>
    </row>
    <row r="247" spans="1:6">
      <c r="A247" t="s">
        <v>49</v>
      </c>
      <c r="B247">
        <v>2000</v>
      </c>
      <c r="C247">
        <v>1</v>
      </c>
      <c r="D247">
        <f>VLOOKUP(A247,hex!$A$1:$D$52,2,FALSE)</f>
        <v>3</v>
      </c>
      <c r="E247">
        <f>VLOOKUP(A247,hex!$A$1:$D$52,3,FALSE)</f>
        <v>8</v>
      </c>
      <c r="F247" t="str">
        <f>VLOOKUP(A247,hex!$A$1:$D$52,4,FALSE)</f>
        <v>OH</v>
      </c>
    </row>
    <row r="248" spans="1:6">
      <c r="A248" t="s">
        <v>49</v>
      </c>
      <c r="B248">
        <v>2004</v>
      </c>
      <c r="C248">
        <v>1</v>
      </c>
      <c r="D248">
        <f>VLOOKUP(A248,hex!$A$1:$D$52,2,FALSE)</f>
        <v>3</v>
      </c>
      <c r="E248">
        <f>VLOOKUP(A248,hex!$A$1:$D$52,3,FALSE)</f>
        <v>8</v>
      </c>
      <c r="F248" t="str">
        <f>VLOOKUP(A248,hex!$A$1:$D$52,4,FALSE)</f>
        <v>OH</v>
      </c>
    </row>
    <row r="249" spans="1:6">
      <c r="A249" t="s">
        <v>49</v>
      </c>
      <c r="B249">
        <v>2008</v>
      </c>
      <c r="C249">
        <v>3</v>
      </c>
      <c r="D249">
        <f>VLOOKUP(A249,hex!$A$1:$D$52,2,FALSE)</f>
        <v>3</v>
      </c>
      <c r="E249">
        <f>VLOOKUP(A249,hex!$A$1:$D$52,3,FALSE)</f>
        <v>8</v>
      </c>
      <c r="F249" t="str">
        <f>VLOOKUP(A249,hex!$A$1:$D$52,4,FALSE)</f>
        <v>OH</v>
      </c>
    </row>
    <row r="250" spans="1:6">
      <c r="A250" t="s">
        <v>49</v>
      </c>
      <c r="B250">
        <v>2012</v>
      </c>
      <c r="C250">
        <v>3</v>
      </c>
      <c r="D250">
        <f>VLOOKUP(A250,hex!$A$1:$D$52,2,FALSE)</f>
        <v>3</v>
      </c>
      <c r="E250">
        <f>VLOOKUP(A250,hex!$A$1:$D$52,3,FALSE)</f>
        <v>8</v>
      </c>
      <c r="F250" t="str">
        <f>VLOOKUP(A250,hex!$A$1:$D$52,4,FALSE)</f>
        <v>OH</v>
      </c>
    </row>
    <row r="251" spans="1:6">
      <c r="A251" t="s">
        <v>49</v>
      </c>
      <c r="B251">
        <v>2016</v>
      </c>
      <c r="C251">
        <v>1</v>
      </c>
      <c r="D251">
        <f>VLOOKUP(A251,hex!$A$1:$D$52,2,FALSE)</f>
        <v>3</v>
      </c>
      <c r="E251">
        <f>VLOOKUP(A251,hex!$A$1:$D$52,3,FALSE)</f>
        <v>8</v>
      </c>
      <c r="F251" t="str">
        <f>VLOOKUP(A251,hex!$A$1:$D$52,4,FALSE)</f>
        <v>OH</v>
      </c>
    </row>
    <row r="252" spans="1:6">
      <c r="A252" t="s">
        <v>49</v>
      </c>
      <c r="B252">
        <v>2020</v>
      </c>
      <c r="C252">
        <v>2</v>
      </c>
      <c r="D252">
        <f>VLOOKUP(A252,hex!$A$1:$D$52,2,FALSE)</f>
        <v>3</v>
      </c>
      <c r="E252">
        <f>VLOOKUP(A252,hex!$A$1:$D$52,3,FALSE)</f>
        <v>8</v>
      </c>
      <c r="F252" t="str">
        <f>VLOOKUP(A252,hex!$A$1:$D$52,4,FALSE)</f>
        <v>OH</v>
      </c>
    </row>
    <row r="253" spans="1:6">
      <c r="A253" t="s">
        <v>49</v>
      </c>
      <c r="B253">
        <v>2024</v>
      </c>
      <c r="C253">
        <v>2</v>
      </c>
      <c r="D253">
        <f>VLOOKUP(A253,hex!$A$1:$D$52,2,FALSE)</f>
        <v>3</v>
      </c>
      <c r="E253">
        <f>VLOOKUP(A253,hex!$A$1:$D$52,3,FALSE)</f>
        <v>8</v>
      </c>
      <c r="F253" t="str">
        <f>VLOOKUP(A253,hex!$A$1:$D$52,4,FALSE)</f>
        <v>OH</v>
      </c>
    </row>
    <row r="254" spans="1:6">
      <c r="A254" t="s">
        <v>50</v>
      </c>
      <c r="B254">
        <v>2000</v>
      </c>
      <c r="C254">
        <v>1</v>
      </c>
      <c r="D254">
        <f>VLOOKUP(A254,hex!$A$1:$D$52,2,FALSE)</f>
        <v>6</v>
      </c>
      <c r="E254">
        <f>VLOOKUP(A254,hex!$A$1:$D$52,3,FALSE)</f>
        <v>4.5</v>
      </c>
      <c r="F254" t="str">
        <f>VLOOKUP(A254,hex!$A$1:$D$52,4,FALSE)</f>
        <v>OK</v>
      </c>
    </row>
    <row r="255" spans="1:6">
      <c r="A255" t="s">
        <v>50</v>
      </c>
      <c r="B255">
        <v>2004</v>
      </c>
      <c r="C255">
        <v>1</v>
      </c>
      <c r="D255">
        <f>VLOOKUP(A255,hex!$A$1:$D$52,2,FALSE)</f>
        <v>6</v>
      </c>
      <c r="E255">
        <f>VLOOKUP(A255,hex!$A$1:$D$52,3,FALSE)</f>
        <v>4.5</v>
      </c>
      <c r="F255" t="str">
        <f>VLOOKUP(A255,hex!$A$1:$D$52,4,FALSE)</f>
        <v>OK</v>
      </c>
    </row>
    <row r="256" spans="1:6">
      <c r="A256" t="s">
        <v>50</v>
      </c>
      <c r="B256">
        <v>2008</v>
      </c>
      <c r="C256">
        <v>1</v>
      </c>
      <c r="D256">
        <f>VLOOKUP(A256,hex!$A$1:$D$52,2,FALSE)</f>
        <v>6</v>
      </c>
      <c r="E256">
        <f>VLOOKUP(A256,hex!$A$1:$D$52,3,FALSE)</f>
        <v>4.5</v>
      </c>
      <c r="F256" t="str">
        <f>VLOOKUP(A256,hex!$A$1:$D$52,4,FALSE)</f>
        <v>OK</v>
      </c>
    </row>
    <row r="257" spans="1:6">
      <c r="A257" t="s">
        <v>50</v>
      </c>
      <c r="B257">
        <v>2012</v>
      </c>
      <c r="C257">
        <v>1</v>
      </c>
      <c r="D257">
        <f>VLOOKUP(A257,hex!$A$1:$D$52,2,FALSE)</f>
        <v>6</v>
      </c>
      <c r="E257">
        <f>VLOOKUP(A257,hex!$A$1:$D$52,3,FALSE)</f>
        <v>4.5</v>
      </c>
      <c r="F257" t="str">
        <f>VLOOKUP(A257,hex!$A$1:$D$52,4,FALSE)</f>
        <v>OK</v>
      </c>
    </row>
    <row r="258" spans="1:6">
      <c r="A258" t="s">
        <v>50</v>
      </c>
      <c r="B258">
        <v>2016</v>
      </c>
      <c r="C258">
        <v>1</v>
      </c>
      <c r="D258">
        <f>VLOOKUP(A258,hex!$A$1:$D$52,2,FALSE)</f>
        <v>6</v>
      </c>
      <c r="E258">
        <f>VLOOKUP(A258,hex!$A$1:$D$52,3,FALSE)</f>
        <v>4.5</v>
      </c>
      <c r="F258" t="str">
        <f>VLOOKUP(A258,hex!$A$1:$D$52,4,FALSE)</f>
        <v>OK</v>
      </c>
    </row>
    <row r="259" spans="1:6">
      <c r="A259" t="s">
        <v>50</v>
      </c>
      <c r="B259">
        <v>2020</v>
      </c>
      <c r="C259">
        <v>1</v>
      </c>
      <c r="D259">
        <f>VLOOKUP(A259,hex!$A$1:$D$52,2,FALSE)</f>
        <v>6</v>
      </c>
      <c r="E259">
        <f>VLOOKUP(A259,hex!$A$1:$D$52,3,FALSE)</f>
        <v>4.5</v>
      </c>
      <c r="F259" t="str">
        <f>VLOOKUP(A259,hex!$A$1:$D$52,4,FALSE)</f>
        <v>OK</v>
      </c>
    </row>
    <row r="260" spans="1:6">
      <c r="A260" t="s">
        <v>50</v>
      </c>
      <c r="B260">
        <v>2024</v>
      </c>
      <c r="C260">
        <v>2</v>
      </c>
      <c r="D260">
        <f>VLOOKUP(A260,hex!$A$1:$D$52,2,FALSE)</f>
        <v>6</v>
      </c>
      <c r="E260">
        <f>VLOOKUP(A260,hex!$A$1:$D$52,3,FALSE)</f>
        <v>4.5</v>
      </c>
      <c r="F260" t="str">
        <f>VLOOKUP(A260,hex!$A$1:$D$52,4,FALSE)</f>
        <v>OK</v>
      </c>
    </row>
    <row r="261" spans="1:6">
      <c r="A261" t="s">
        <v>51</v>
      </c>
      <c r="B261">
        <v>2000</v>
      </c>
      <c r="C261">
        <v>1</v>
      </c>
      <c r="D261">
        <f>VLOOKUP(A261,hex!$A$1:$D$52,2,FALSE)</f>
        <v>4</v>
      </c>
      <c r="E261">
        <f>VLOOKUP(A261,hex!$A$1:$D$52,3,FALSE)</f>
        <v>1.5</v>
      </c>
      <c r="F261" t="str">
        <f>VLOOKUP(A261,hex!$A$1:$D$52,4,FALSE)</f>
        <v>OR</v>
      </c>
    </row>
    <row r="262" spans="1:6">
      <c r="A262" t="s">
        <v>51</v>
      </c>
      <c r="B262">
        <v>2004</v>
      </c>
      <c r="C262">
        <v>1</v>
      </c>
      <c r="D262">
        <f>VLOOKUP(A262,hex!$A$1:$D$52,2,FALSE)</f>
        <v>4</v>
      </c>
      <c r="E262">
        <f>VLOOKUP(A262,hex!$A$1:$D$52,3,FALSE)</f>
        <v>1.5</v>
      </c>
      <c r="F262" t="str">
        <f>VLOOKUP(A262,hex!$A$1:$D$52,4,FALSE)</f>
        <v>OR</v>
      </c>
    </row>
    <row r="263" spans="1:6">
      <c r="A263" t="s">
        <v>51</v>
      </c>
      <c r="B263">
        <v>2008</v>
      </c>
      <c r="C263">
        <v>1</v>
      </c>
      <c r="D263">
        <f>VLOOKUP(A263,hex!$A$1:$D$52,2,FALSE)</f>
        <v>4</v>
      </c>
      <c r="E263">
        <f>VLOOKUP(A263,hex!$A$1:$D$52,3,FALSE)</f>
        <v>1.5</v>
      </c>
      <c r="F263" t="str">
        <f>VLOOKUP(A263,hex!$A$1:$D$52,4,FALSE)</f>
        <v>OR</v>
      </c>
    </row>
    <row r="264" spans="1:6">
      <c r="A264" t="s">
        <v>51</v>
      </c>
      <c r="B264">
        <v>2012</v>
      </c>
      <c r="C264">
        <v>2</v>
      </c>
      <c r="D264">
        <f>VLOOKUP(A264,hex!$A$1:$D$52,2,FALSE)</f>
        <v>4</v>
      </c>
      <c r="E264">
        <f>VLOOKUP(A264,hex!$A$1:$D$52,3,FALSE)</f>
        <v>1.5</v>
      </c>
      <c r="F264" t="str">
        <f>VLOOKUP(A264,hex!$A$1:$D$52,4,FALSE)</f>
        <v>OR</v>
      </c>
    </row>
    <row r="265" spans="1:6">
      <c r="A265" t="s">
        <v>51</v>
      </c>
      <c r="B265">
        <v>2016</v>
      </c>
      <c r="C265">
        <v>4</v>
      </c>
      <c r="D265">
        <f>VLOOKUP(A265,hex!$A$1:$D$52,2,FALSE)</f>
        <v>4</v>
      </c>
      <c r="E265">
        <f>VLOOKUP(A265,hex!$A$1:$D$52,3,FALSE)</f>
        <v>1.5</v>
      </c>
      <c r="F265" t="str">
        <f>VLOOKUP(A265,hex!$A$1:$D$52,4,FALSE)</f>
        <v>OR</v>
      </c>
    </row>
    <row r="266" spans="1:6">
      <c r="A266" t="s">
        <v>51</v>
      </c>
      <c r="B266">
        <v>2020</v>
      </c>
      <c r="C266">
        <v>4</v>
      </c>
      <c r="D266">
        <f>VLOOKUP(A266,hex!$A$1:$D$52,2,FALSE)</f>
        <v>4</v>
      </c>
      <c r="E266">
        <f>VLOOKUP(A266,hex!$A$1:$D$52,3,FALSE)</f>
        <v>1.5</v>
      </c>
      <c r="F266" t="str">
        <f>VLOOKUP(A266,hex!$A$1:$D$52,4,FALSE)</f>
        <v>OR</v>
      </c>
    </row>
    <row r="267" spans="1:6">
      <c r="A267" t="s">
        <v>51</v>
      </c>
      <c r="B267">
        <v>2024</v>
      </c>
      <c r="C267">
        <v>4</v>
      </c>
      <c r="D267">
        <f>VLOOKUP(A267,hex!$A$1:$D$52,2,FALSE)</f>
        <v>4</v>
      </c>
      <c r="E267">
        <f>VLOOKUP(A267,hex!$A$1:$D$52,3,FALSE)</f>
        <v>1.5</v>
      </c>
      <c r="F267" t="str">
        <f>VLOOKUP(A267,hex!$A$1:$D$52,4,FALSE)</f>
        <v>OR</v>
      </c>
    </row>
    <row r="268" spans="1:6">
      <c r="A268" t="s">
        <v>52</v>
      </c>
      <c r="B268">
        <v>2000</v>
      </c>
      <c r="C268">
        <v>1</v>
      </c>
      <c r="D268">
        <f>VLOOKUP(A268,hex!$A$1:$D$52,2,FALSE)</f>
        <v>3</v>
      </c>
      <c r="E268">
        <f>VLOOKUP(A268,hex!$A$1:$D$52,3,FALSE)</f>
        <v>9</v>
      </c>
      <c r="F268" t="str">
        <f>VLOOKUP(A268,hex!$A$1:$D$52,4,FALSE)</f>
        <v>PA</v>
      </c>
    </row>
    <row r="269" spans="1:6">
      <c r="A269" t="s">
        <v>52</v>
      </c>
      <c r="B269">
        <v>2004</v>
      </c>
      <c r="C269">
        <v>1</v>
      </c>
      <c r="D269">
        <f>VLOOKUP(A269,hex!$A$1:$D$52,2,FALSE)</f>
        <v>3</v>
      </c>
      <c r="E269">
        <f>VLOOKUP(A269,hex!$A$1:$D$52,3,FALSE)</f>
        <v>9</v>
      </c>
      <c r="F269" t="str">
        <f>VLOOKUP(A269,hex!$A$1:$D$52,4,FALSE)</f>
        <v>PA</v>
      </c>
    </row>
    <row r="270" spans="1:6">
      <c r="A270" t="s">
        <v>52</v>
      </c>
      <c r="B270">
        <v>2008</v>
      </c>
      <c r="C270">
        <v>1</v>
      </c>
      <c r="D270">
        <f>VLOOKUP(A270,hex!$A$1:$D$52,2,FALSE)</f>
        <v>3</v>
      </c>
      <c r="E270">
        <f>VLOOKUP(A270,hex!$A$1:$D$52,3,FALSE)</f>
        <v>9</v>
      </c>
      <c r="F270" t="str">
        <f>VLOOKUP(A270,hex!$A$1:$D$52,4,FALSE)</f>
        <v>PA</v>
      </c>
    </row>
    <row r="271" spans="1:6">
      <c r="A271" t="s">
        <v>52</v>
      </c>
      <c r="B271">
        <v>2012</v>
      </c>
      <c r="C271">
        <v>1</v>
      </c>
      <c r="D271">
        <f>VLOOKUP(A271,hex!$A$1:$D$52,2,FALSE)</f>
        <v>3</v>
      </c>
      <c r="E271">
        <f>VLOOKUP(A271,hex!$A$1:$D$52,3,FALSE)</f>
        <v>9</v>
      </c>
      <c r="F271" t="str">
        <f>VLOOKUP(A271,hex!$A$1:$D$52,4,FALSE)</f>
        <v>PA</v>
      </c>
    </row>
    <row r="272" spans="1:6">
      <c r="A272" t="s">
        <v>52</v>
      </c>
      <c r="B272">
        <v>2016</v>
      </c>
      <c r="C272">
        <v>2</v>
      </c>
      <c r="D272">
        <f>VLOOKUP(A272,hex!$A$1:$D$52,2,FALSE)</f>
        <v>3</v>
      </c>
      <c r="E272">
        <f>VLOOKUP(A272,hex!$A$1:$D$52,3,FALSE)</f>
        <v>9</v>
      </c>
      <c r="F272" t="str">
        <f>VLOOKUP(A272,hex!$A$1:$D$52,4,FALSE)</f>
        <v>PA</v>
      </c>
    </row>
    <row r="273" spans="1:6">
      <c r="A273" t="s">
        <v>52</v>
      </c>
      <c r="B273">
        <v>2020</v>
      </c>
      <c r="C273">
        <v>2</v>
      </c>
      <c r="D273">
        <f>VLOOKUP(A273,hex!$A$1:$D$52,2,FALSE)</f>
        <v>3</v>
      </c>
      <c r="E273">
        <f>VLOOKUP(A273,hex!$A$1:$D$52,3,FALSE)</f>
        <v>9</v>
      </c>
      <c r="F273" t="str">
        <f>VLOOKUP(A273,hex!$A$1:$D$52,4,FALSE)</f>
        <v>PA</v>
      </c>
    </row>
    <row r="274" spans="1:6">
      <c r="A274" t="s">
        <v>52</v>
      </c>
      <c r="B274">
        <v>2024</v>
      </c>
      <c r="C274">
        <v>4</v>
      </c>
      <c r="D274">
        <f>VLOOKUP(A274,hex!$A$1:$D$52,2,FALSE)</f>
        <v>3</v>
      </c>
      <c r="E274">
        <f>VLOOKUP(A274,hex!$A$1:$D$52,3,FALSE)</f>
        <v>9</v>
      </c>
      <c r="F274" t="str">
        <f>VLOOKUP(A274,hex!$A$1:$D$52,4,FALSE)</f>
        <v>PA</v>
      </c>
    </row>
    <row r="275" spans="1:6">
      <c r="A275" t="s">
        <v>53</v>
      </c>
      <c r="B275">
        <v>2000</v>
      </c>
      <c r="C275">
        <v>1</v>
      </c>
      <c r="D275">
        <f>VLOOKUP(A275,hex!$A$1:$D$52,2,FALSE)</f>
        <v>2</v>
      </c>
      <c r="E275">
        <f>VLOOKUP(A275,hex!$A$1:$D$52,3,FALSE)</f>
        <v>11.5</v>
      </c>
      <c r="F275" t="str">
        <f>VLOOKUP(A275,hex!$A$1:$D$52,4,FALSE)</f>
        <v>RI</v>
      </c>
    </row>
    <row r="276" spans="1:6">
      <c r="A276" t="s">
        <v>53</v>
      </c>
      <c r="B276">
        <v>2004</v>
      </c>
      <c r="C276">
        <v>1</v>
      </c>
      <c r="D276">
        <f>VLOOKUP(A276,hex!$A$1:$D$52,2,FALSE)</f>
        <v>2</v>
      </c>
      <c r="E276">
        <f>VLOOKUP(A276,hex!$A$1:$D$52,3,FALSE)</f>
        <v>11.5</v>
      </c>
      <c r="F276" t="str">
        <f>VLOOKUP(A276,hex!$A$1:$D$52,4,FALSE)</f>
        <v>RI</v>
      </c>
    </row>
    <row r="277" spans="1:6">
      <c r="A277" t="s">
        <v>53</v>
      </c>
      <c r="B277">
        <v>2008</v>
      </c>
      <c r="C277">
        <v>1</v>
      </c>
      <c r="D277">
        <f>VLOOKUP(A277,hex!$A$1:$D$52,2,FALSE)</f>
        <v>2</v>
      </c>
      <c r="E277">
        <f>VLOOKUP(A277,hex!$A$1:$D$52,3,FALSE)</f>
        <v>11.5</v>
      </c>
      <c r="F277" t="str">
        <f>VLOOKUP(A277,hex!$A$1:$D$52,4,FALSE)</f>
        <v>RI</v>
      </c>
    </row>
    <row r="278" spans="1:6">
      <c r="A278" t="s">
        <v>53</v>
      </c>
      <c r="B278">
        <v>2012</v>
      </c>
      <c r="C278">
        <v>1</v>
      </c>
      <c r="D278">
        <f>VLOOKUP(A278,hex!$A$1:$D$52,2,FALSE)</f>
        <v>2</v>
      </c>
      <c r="E278">
        <f>VLOOKUP(A278,hex!$A$1:$D$52,3,FALSE)</f>
        <v>11.5</v>
      </c>
      <c r="F278" t="str">
        <f>VLOOKUP(A278,hex!$A$1:$D$52,4,FALSE)</f>
        <v>RI</v>
      </c>
    </row>
    <row r="279" spans="1:6">
      <c r="A279" t="s">
        <v>53</v>
      </c>
      <c r="B279">
        <v>2016</v>
      </c>
      <c r="C279">
        <v>2</v>
      </c>
      <c r="D279">
        <f>VLOOKUP(A279,hex!$A$1:$D$52,2,FALSE)</f>
        <v>2</v>
      </c>
      <c r="E279">
        <f>VLOOKUP(A279,hex!$A$1:$D$52,3,FALSE)</f>
        <v>11.5</v>
      </c>
      <c r="F279" t="str">
        <f>VLOOKUP(A279,hex!$A$1:$D$52,4,FALSE)</f>
        <v>RI</v>
      </c>
    </row>
    <row r="280" spans="1:6">
      <c r="A280" t="s">
        <v>53</v>
      </c>
      <c r="B280">
        <v>2020</v>
      </c>
      <c r="C280">
        <v>4</v>
      </c>
      <c r="D280">
        <f>VLOOKUP(A280,hex!$A$1:$D$52,2,FALSE)</f>
        <v>2</v>
      </c>
      <c r="E280">
        <f>VLOOKUP(A280,hex!$A$1:$D$52,3,FALSE)</f>
        <v>11.5</v>
      </c>
      <c r="F280" t="str">
        <f>VLOOKUP(A280,hex!$A$1:$D$52,4,FALSE)</f>
        <v>RI</v>
      </c>
    </row>
    <row r="281" spans="1:6">
      <c r="A281" t="s">
        <v>53</v>
      </c>
      <c r="B281">
        <v>2024</v>
      </c>
      <c r="C281">
        <v>4</v>
      </c>
      <c r="D281">
        <f>VLOOKUP(A281,hex!$A$1:$D$52,2,FALSE)</f>
        <v>2</v>
      </c>
      <c r="E281">
        <f>VLOOKUP(A281,hex!$A$1:$D$52,3,FALSE)</f>
        <v>11.5</v>
      </c>
      <c r="F281" t="str">
        <f>VLOOKUP(A281,hex!$A$1:$D$52,4,FALSE)</f>
        <v>RI</v>
      </c>
    </row>
    <row r="282" spans="1:6">
      <c r="A282" t="s">
        <v>54</v>
      </c>
      <c r="B282">
        <v>2000</v>
      </c>
      <c r="C282">
        <v>1</v>
      </c>
      <c r="D282">
        <f>VLOOKUP(A282,hex!$A$1:$D$52,2,FALSE)</f>
        <v>6</v>
      </c>
      <c r="E282">
        <f>VLOOKUP(A282,hex!$A$1:$D$52,3,FALSE)</f>
        <v>8.5</v>
      </c>
      <c r="F282" t="str">
        <f>VLOOKUP(A282,hex!$A$1:$D$52,4,FALSE)</f>
        <v>SC</v>
      </c>
    </row>
    <row r="283" spans="1:6">
      <c r="A283" t="s">
        <v>54</v>
      </c>
      <c r="B283">
        <v>2004</v>
      </c>
      <c r="C283">
        <v>1</v>
      </c>
      <c r="D283">
        <f>VLOOKUP(A283,hex!$A$1:$D$52,2,FALSE)</f>
        <v>6</v>
      </c>
      <c r="E283">
        <f>VLOOKUP(A283,hex!$A$1:$D$52,3,FALSE)</f>
        <v>8.5</v>
      </c>
      <c r="F283" t="str">
        <f>VLOOKUP(A283,hex!$A$1:$D$52,4,FALSE)</f>
        <v>SC</v>
      </c>
    </row>
    <row r="284" spans="1:6">
      <c r="A284" t="s">
        <v>54</v>
      </c>
      <c r="B284">
        <v>2008</v>
      </c>
      <c r="C284">
        <v>1</v>
      </c>
      <c r="D284">
        <f>VLOOKUP(A284,hex!$A$1:$D$52,2,FALSE)</f>
        <v>6</v>
      </c>
      <c r="E284">
        <f>VLOOKUP(A284,hex!$A$1:$D$52,3,FALSE)</f>
        <v>8.5</v>
      </c>
      <c r="F284" t="str">
        <f>VLOOKUP(A284,hex!$A$1:$D$52,4,FALSE)</f>
        <v>SC</v>
      </c>
    </row>
    <row r="285" spans="1:6">
      <c r="A285" t="s">
        <v>54</v>
      </c>
      <c r="B285">
        <v>2012</v>
      </c>
      <c r="C285">
        <v>2</v>
      </c>
      <c r="D285">
        <f>VLOOKUP(A285,hex!$A$1:$D$52,2,FALSE)</f>
        <v>6</v>
      </c>
      <c r="E285">
        <f>VLOOKUP(A285,hex!$A$1:$D$52,3,FALSE)</f>
        <v>8.5</v>
      </c>
      <c r="F285" t="str">
        <f>VLOOKUP(A285,hex!$A$1:$D$52,4,FALSE)</f>
        <v>SC</v>
      </c>
    </row>
    <row r="286" spans="1:6">
      <c r="A286" t="s">
        <v>54</v>
      </c>
      <c r="B286">
        <v>2016</v>
      </c>
      <c r="C286">
        <v>2</v>
      </c>
      <c r="D286">
        <f>VLOOKUP(A286,hex!$A$1:$D$52,2,FALSE)</f>
        <v>6</v>
      </c>
      <c r="E286">
        <f>VLOOKUP(A286,hex!$A$1:$D$52,3,FALSE)</f>
        <v>8.5</v>
      </c>
      <c r="F286" t="str">
        <f>VLOOKUP(A286,hex!$A$1:$D$52,4,FALSE)</f>
        <v>SC</v>
      </c>
    </row>
    <row r="287" spans="1:6">
      <c r="A287" t="s">
        <v>54</v>
      </c>
      <c r="B287">
        <v>2020</v>
      </c>
      <c r="C287">
        <v>2</v>
      </c>
      <c r="D287">
        <f>VLOOKUP(A287,hex!$A$1:$D$52,2,FALSE)</f>
        <v>6</v>
      </c>
      <c r="E287">
        <f>VLOOKUP(A287,hex!$A$1:$D$52,3,FALSE)</f>
        <v>8.5</v>
      </c>
      <c r="F287" t="str">
        <f>VLOOKUP(A287,hex!$A$1:$D$52,4,FALSE)</f>
        <v>SC</v>
      </c>
    </row>
    <row r="288" spans="1:6">
      <c r="A288" t="s">
        <v>54</v>
      </c>
      <c r="B288">
        <v>2024</v>
      </c>
      <c r="C288">
        <v>2</v>
      </c>
      <c r="D288">
        <f>VLOOKUP(A288,hex!$A$1:$D$52,2,FALSE)</f>
        <v>6</v>
      </c>
      <c r="E288">
        <f>VLOOKUP(A288,hex!$A$1:$D$52,3,FALSE)</f>
        <v>8.5</v>
      </c>
      <c r="F288" t="str">
        <f>VLOOKUP(A288,hex!$A$1:$D$52,4,FALSE)</f>
        <v>SC</v>
      </c>
    </row>
    <row r="289" spans="1:6">
      <c r="A289" t="s">
        <v>55</v>
      </c>
      <c r="B289">
        <v>2000</v>
      </c>
      <c r="C289">
        <v>1</v>
      </c>
      <c r="D289">
        <f>VLOOKUP(A289,hex!$A$1:$D$52,2,FALSE)</f>
        <v>3</v>
      </c>
      <c r="E289">
        <f>VLOOKUP(A289,hex!$A$1:$D$52,3,FALSE)</f>
        <v>4</v>
      </c>
      <c r="F289" t="str">
        <f>VLOOKUP(A289,hex!$A$1:$D$52,4,FALSE)</f>
        <v>SD</v>
      </c>
    </row>
    <row r="290" spans="1:6">
      <c r="A290" t="s">
        <v>55</v>
      </c>
      <c r="B290">
        <v>2004</v>
      </c>
      <c r="C290">
        <v>1</v>
      </c>
      <c r="D290">
        <f>VLOOKUP(A290,hex!$A$1:$D$52,2,FALSE)</f>
        <v>3</v>
      </c>
      <c r="E290">
        <f>VLOOKUP(A290,hex!$A$1:$D$52,3,FALSE)</f>
        <v>4</v>
      </c>
      <c r="F290" t="str">
        <f>VLOOKUP(A290,hex!$A$1:$D$52,4,FALSE)</f>
        <v>SD</v>
      </c>
    </row>
    <row r="291" spans="1:6">
      <c r="A291" t="s">
        <v>55</v>
      </c>
      <c r="B291">
        <v>2008</v>
      </c>
      <c r="C291">
        <v>1</v>
      </c>
      <c r="D291">
        <f>VLOOKUP(A291,hex!$A$1:$D$52,2,FALSE)</f>
        <v>3</v>
      </c>
      <c r="E291">
        <f>VLOOKUP(A291,hex!$A$1:$D$52,3,FALSE)</f>
        <v>4</v>
      </c>
      <c r="F291" t="str">
        <f>VLOOKUP(A291,hex!$A$1:$D$52,4,FALSE)</f>
        <v>SD</v>
      </c>
    </row>
    <row r="292" spans="1:6">
      <c r="A292" t="s">
        <v>55</v>
      </c>
      <c r="B292">
        <v>2012</v>
      </c>
      <c r="C292">
        <v>1</v>
      </c>
      <c r="D292">
        <f>VLOOKUP(A292,hex!$A$1:$D$52,2,FALSE)</f>
        <v>3</v>
      </c>
      <c r="E292">
        <f>VLOOKUP(A292,hex!$A$1:$D$52,3,FALSE)</f>
        <v>4</v>
      </c>
      <c r="F292" t="str">
        <f>VLOOKUP(A292,hex!$A$1:$D$52,4,FALSE)</f>
        <v>SD</v>
      </c>
    </row>
    <row r="293" spans="1:6">
      <c r="A293" t="s">
        <v>55</v>
      </c>
      <c r="B293">
        <v>2016</v>
      </c>
      <c r="C293">
        <v>1</v>
      </c>
      <c r="D293">
        <f>VLOOKUP(A293,hex!$A$1:$D$52,2,FALSE)</f>
        <v>3</v>
      </c>
      <c r="E293">
        <f>VLOOKUP(A293,hex!$A$1:$D$52,3,FALSE)</f>
        <v>4</v>
      </c>
      <c r="F293" t="str">
        <f>VLOOKUP(A293,hex!$A$1:$D$52,4,FALSE)</f>
        <v>SD</v>
      </c>
    </row>
    <row r="294" spans="1:6">
      <c r="A294" t="s">
        <v>55</v>
      </c>
      <c r="B294">
        <v>2020</v>
      </c>
      <c r="C294">
        <v>1</v>
      </c>
      <c r="D294">
        <f>VLOOKUP(A294,hex!$A$1:$D$52,2,FALSE)</f>
        <v>3</v>
      </c>
      <c r="E294">
        <f>VLOOKUP(A294,hex!$A$1:$D$52,3,FALSE)</f>
        <v>4</v>
      </c>
      <c r="F294" t="str">
        <f>VLOOKUP(A294,hex!$A$1:$D$52,4,FALSE)</f>
        <v>SD</v>
      </c>
    </row>
    <row r="295" spans="1:6">
      <c r="A295" t="s">
        <v>55</v>
      </c>
      <c r="B295">
        <v>2024</v>
      </c>
      <c r="C295">
        <v>1</v>
      </c>
      <c r="D295">
        <f>VLOOKUP(A295,hex!$A$1:$D$52,2,FALSE)</f>
        <v>3</v>
      </c>
      <c r="E295">
        <f>VLOOKUP(A295,hex!$A$1:$D$52,3,FALSE)</f>
        <v>4</v>
      </c>
      <c r="F295" t="str">
        <f>VLOOKUP(A295,hex!$A$1:$D$52,4,FALSE)</f>
        <v>SD</v>
      </c>
    </row>
    <row r="296" spans="1:6">
      <c r="A296" t="s">
        <v>57</v>
      </c>
      <c r="B296">
        <v>2000</v>
      </c>
      <c r="C296">
        <v>1</v>
      </c>
      <c r="D296">
        <f>VLOOKUP(A296,hex!$A$1:$D$52,2,FALSE)</f>
        <v>5</v>
      </c>
      <c r="E296">
        <f>VLOOKUP(A296,hex!$A$1:$D$52,3,FALSE)</f>
        <v>7</v>
      </c>
      <c r="F296" t="str">
        <f>VLOOKUP(A296,hex!$A$1:$D$52,4,FALSE)</f>
        <v>TN</v>
      </c>
    </row>
    <row r="297" spans="1:6">
      <c r="A297" t="s">
        <v>57</v>
      </c>
      <c r="B297">
        <v>2004</v>
      </c>
      <c r="C297">
        <v>1</v>
      </c>
      <c r="D297">
        <f>VLOOKUP(A297,hex!$A$1:$D$52,2,FALSE)</f>
        <v>5</v>
      </c>
      <c r="E297">
        <f>VLOOKUP(A297,hex!$A$1:$D$52,3,FALSE)</f>
        <v>7</v>
      </c>
      <c r="F297" t="str">
        <f>VLOOKUP(A297,hex!$A$1:$D$52,4,FALSE)</f>
        <v>TN</v>
      </c>
    </row>
    <row r="298" spans="1:6">
      <c r="A298" t="s">
        <v>57</v>
      </c>
      <c r="B298">
        <v>2008</v>
      </c>
      <c r="C298">
        <v>1</v>
      </c>
      <c r="D298">
        <f>VLOOKUP(A298,hex!$A$1:$D$52,2,FALSE)</f>
        <v>5</v>
      </c>
      <c r="E298">
        <f>VLOOKUP(A298,hex!$A$1:$D$52,3,FALSE)</f>
        <v>7</v>
      </c>
      <c r="F298" t="str">
        <f>VLOOKUP(A298,hex!$A$1:$D$52,4,FALSE)</f>
        <v>TN</v>
      </c>
    </row>
    <row r="299" spans="1:6">
      <c r="A299" t="s">
        <v>57</v>
      </c>
      <c r="B299">
        <v>2012</v>
      </c>
      <c r="C299">
        <v>1</v>
      </c>
      <c r="D299">
        <f>VLOOKUP(A299,hex!$A$1:$D$52,2,FALSE)</f>
        <v>5</v>
      </c>
      <c r="E299">
        <f>VLOOKUP(A299,hex!$A$1:$D$52,3,FALSE)</f>
        <v>7</v>
      </c>
      <c r="F299" t="str">
        <f>VLOOKUP(A299,hex!$A$1:$D$52,4,FALSE)</f>
        <v>TN</v>
      </c>
    </row>
    <row r="300" spans="1:6">
      <c r="A300" t="s">
        <v>57</v>
      </c>
      <c r="B300">
        <v>2016</v>
      </c>
      <c r="C300">
        <v>1</v>
      </c>
      <c r="D300">
        <f>VLOOKUP(A300,hex!$A$1:$D$52,2,FALSE)</f>
        <v>5</v>
      </c>
      <c r="E300">
        <f>VLOOKUP(A300,hex!$A$1:$D$52,3,FALSE)</f>
        <v>7</v>
      </c>
      <c r="F300" t="str">
        <f>VLOOKUP(A300,hex!$A$1:$D$52,4,FALSE)</f>
        <v>TN</v>
      </c>
    </row>
    <row r="301" spans="1:6">
      <c r="A301" t="s">
        <v>57</v>
      </c>
      <c r="B301">
        <v>2020</v>
      </c>
      <c r="C301">
        <v>2</v>
      </c>
      <c r="D301">
        <f>VLOOKUP(A301,hex!$A$1:$D$52,2,FALSE)</f>
        <v>5</v>
      </c>
      <c r="E301">
        <f>VLOOKUP(A301,hex!$A$1:$D$52,3,FALSE)</f>
        <v>7</v>
      </c>
      <c r="F301" t="str">
        <f>VLOOKUP(A301,hex!$A$1:$D$52,4,FALSE)</f>
        <v>TN</v>
      </c>
    </row>
    <row r="302" spans="1:6">
      <c r="A302" t="s">
        <v>57</v>
      </c>
      <c r="B302">
        <v>2024</v>
      </c>
      <c r="C302">
        <v>2</v>
      </c>
      <c r="D302">
        <f>VLOOKUP(A302,hex!$A$1:$D$52,2,FALSE)</f>
        <v>5</v>
      </c>
      <c r="E302">
        <f>VLOOKUP(A302,hex!$A$1:$D$52,3,FALSE)</f>
        <v>7</v>
      </c>
      <c r="F302" t="str">
        <f>VLOOKUP(A302,hex!$A$1:$D$52,4,FALSE)</f>
        <v>TN</v>
      </c>
    </row>
    <row r="303" spans="1:6">
      <c r="A303" t="s">
        <v>58</v>
      </c>
      <c r="B303">
        <v>2000</v>
      </c>
      <c r="C303">
        <v>1</v>
      </c>
      <c r="D303">
        <f>VLOOKUP(A303,hex!$A$1:$D$52,2,FALSE)</f>
        <v>7</v>
      </c>
      <c r="E303">
        <f>VLOOKUP(A303,hex!$A$1:$D$52,3,FALSE)</f>
        <v>4</v>
      </c>
      <c r="F303" t="str">
        <f>VLOOKUP(A303,hex!$A$1:$D$52,4,FALSE)</f>
        <v>TX</v>
      </c>
    </row>
    <row r="304" spans="1:6">
      <c r="A304" t="s">
        <v>58</v>
      </c>
      <c r="B304">
        <v>2004</v>
      </c>
      <c r="C304">
        <v>1</v>
      </c>
      <c r="D304">
        <f>VLOOKUP(A304,hex!$A$1:$D$52,2,FALSE)</f>
        <v>7</v>
      </c>
      <c r="E304">
        <f>VLOOKUP(A304,hex!$A$1:$D$52,3,FALSE)</f>
        <v>4</v>
      </c>
      <c r="F304" t="str">
        <f>VLOOKUP(A304,hex!$A$1:$D$52,4,FALSE)</f>
        <v>TX</v>
      </c>
    </row>
    <row r="305" spans="1:6">
      <c r="A305" t="s">
        <v>58</v>
      </c>
      <c r="B305">
        <v>2008</v>
      </c>
      <c r="C305">
        <v>1</v>
      </c>
      <c r="D305">
        <f>VLOOKUP(A305,hex!$A$1:$D$52,2,FALSE)</f>
        <v>7</v>
      </c>
      <c r="E305">
        <f>VLOOKUP(A305,hex!$A$1:$D$52,3,FALSE)</f>
        <v>4</v>
      </c>
      <c r="F305" t="str">
        <f>VLOOKUP(A305,hex!$A$1:$D$52,4,FALSE)</f>
        <v>TX</v>
      </c>
    </row>
    <row r="306" spans="1:6">
      <c r="A306" t="s">
        <v>58</v>
      </c>
      <c r="B306">
        <v>2012</v>
      </c>
      <c r="C306">
        <v>1</v>
      </c>
      <c r="D306">
        <f>VLOOKUP(A306,hex!$A$1:$D$52,2,FALSE)</f>
        <v>7</v>
      </c>
      <c r="E306">
        <f>VLOOKUP(A306,hex!$A$1:$D$52,3,FALSE)</f>
        <v>4</v>
      </c>
      <c r="F306" t="str">
        <f>VLOOKUP(A306,hex!$A$1:$D$52,4,FALSE)</f>
        <v>TX</v>
      </c>
    </row>
    <row r="307" spans="1:6">
      <c r="A307" t="s">
        <v>58</v>
      </c>
      <c r="B307">
        <v>2016</v>
      </c>
      <c r="C307">
        <v>1</v>
      </c>
      <c r="D307">
        <f>VLOOKUP(A307,hex!$A$1:$D$52,2,FALSE)</f>
        <v>7</v>
      </c>
      <c r="E307">
        <f>VLOOKUP(A307,hex!$A$1:$D$52,3,FALSE)</f>
        <v>4</v>
      </c>
      <c r="F307" t="str">
        <f>VLOOKUP(A307,hex!$A$1:$D$52,4,FALSE)</f>
        <v>TX</v>
      </c>
    </row>
    <row r="308" spans="1:6">
      <c r="A308" t="s">
        <v>58</v>
      </c>
      <c r="B308">
        <v>2020</v>
      </c>
      <c r="C308">
        <v>1</v>
      </c>
      <c r="D308">
        <f>VLOOKUP(A308,hex!$A$1:$D$52,2,FALSE)</f>
        <v>7</v>
      </c>
      <c r="E308">
        <f>VLOOKUP(A308,hex!$A$1:$D$52,3,FALSE)</f>
        <v>4</v>
      </c>
      <c r="F308" t="str">
        <f>VLOOKUP(A308,hex!$A$1:$D$52,4,FALSE)</f>
        <v>TX</v>
      </c>
    </row>
    <row r="309" spans="1:6">
      <c r="A309" t="s">
        <v>58</v>
      </c>
      <c r="B309">
        <v>2024</v>
      </c>
      <c r="C309">
        <v>1</v>
      </c>
      <c r="D309">
        <f>VLOOKUP(A309,hex!$A$1:$D$52,2,FALSE)</f>
        <v>7</v>
      </c>
      <c r="E309">
        <f>VLOOKUP(A309,hex!$A$1:$D$52,3,FALSE)</f>
        <v>4</v>
      </c>
      <c r="F309" t="str">
        <f>VLOOKUP(A309,hex!$A$1:$D$52,4,FALSE)</f>
        <v>TX</v>
      </c>
    </row>
    <row r="310" spans="1:6">
      <c r="A310" t="s">
        <v>59</v>
      </c>
      <c r="B310">
        <v>2000</v>
      </c>
      <c r="C310">
        <v>1</v>
      </c>
      <c r="D310">
        <f>VLOOKUP(A310,hex!$A$1:$D$52,2,FALSE)</f>
        <v>5</v>
      </c>
      <c r="E310">
        <f>VLOOKUP(A310,hex!$A$1:$D$52,3,FALSE)</f>
        <v>4</v>
      </c>
      <c r="F310" t="str">
        <f>VLOOKUP(A310,hex!$A$1:$D$52,4,FALSE)</f>
        <v>UT</v>
      </c>
    </row>
    <row r="311" spans="1:6">
      <c r="A311" t="s">
        <v>59</v>
      </c>
      <c r="B311">
        <v>2004</v>
      </c>
      <c r="C311">
        <v>1</v>
      </c>
      <c r="D311">
        <f>VLOOKUP(A311,hex!$A$1:$D$52,2,FALSE)</f>
        <v>5</v>
      </c>
      <c r="E311">
        <f>VLOOKUP(A311,hex!$A$1:$D$52,3,FALSE)</f>
        <v>4</v>
      </c>
      <c r="F311" t="str">
        <f>VLOOKUP(A311,hex!$A$1:$D$52,4,FALSE)</f>
        <v>UT</v>
      </c>
    </row>
    <row r="312" spans="1:6">
      <c r="A312" t="s">
        <v>59</v>
      </c>
      <c r="B312">
        <v>2008</v>
      </c>
      <c r="C312">
        <v>1</v>
      </c>
      <c r="D312">
        <f>VLOOKUP(A312,hex!$A$1:$D$52,2,FALSE)</f>
        <v>5</v>
      </c>
      <c r="E312">
        <f>VLOOKUP(A312,hex!$A$1:$D$52,3,FALSE)</f>
        <v>4</v>
      </c>
      <c r="F312" t="str">
        <f>VLOOKUP(A312,hex!$A$1:$D$52,4,FALSE)</f>
        <v>UT</v>
      </c>
    </row>
    <row r="313" spans="1:6">
      <c r="A313" t="s">
        <v>59</v>
      </c>
      <c r="B313">
        <v>2012</v>
      </c>
      <c r="C313">
        <v>2</v>
      </c>
      <c r="D313">
        <f>VLOOKUP(A313,hex!$A$1:$D$52,2,FALSE)</f>
        <v>5</v>
      </c>
      <c r="E313">
        <f>VLOOKUP(A313,hex!$A$1:$D$52,3,FALSE)</f>
        <v>4</v>
      </c>
      <c r="F313" t="str">
        <f>VLOOKUP(A313,hex!$A$1:$D$52,4,FALSE)</f>
        <v>UT</v>
      </c>
    </row>
    <row r="314" spans="1:6">
      <c r="A314" t="s">
        <v>59</v>
      </c>
      <c r="B314">
        <v>2016</v>
      </c>
      <c r="C314">
        <v>2</v>
      </c>
      <c r="D314">
        <f>VLOOKUP(A314,hex!$A$1:$D$52,2,FALSE)</f>
        <v>5</v>
      </c>
      <c r="E314">
        <f>VLOOKUP(A314,hex!$A$1:$D$52,3,FALSE)</f>
        <v>4</v>
      </c>
      <c r="F314" t="str">
        <f>VLOOKUP(A314,hex!$A$1:$D$52,4,FALSE)</f>
        <v>UT</v>
      </c>
    </row>
    <row r="315" spans="1:6">
      <c r="A315" t="s">
        <v>59</v>
      </c>
      <c r="B315">
        <v>2020</v>
      </c>
      <c r="C315">
        <v>5</v>
      </c>
      <c r="D315">
        <f>VLOOKUP(A315,hex!$A$1:$D$52,2,FALSE)</f>
        <v>5</v>
      </c>
      <c r="E315">
        <f>VLOOKUP(A315,hex!$A$1:$D$52,3,FALSE)</f>
        <v>4</v>
      </c>
      <c r="F315" t="str">
        <f>VLOOKUP(A315,hex!$A$1:$D$52,4,FALSE)</f>
        <v>UT</v>
      </c>
    </row>
    <row r="316" spans="1:6">
      <c r="A316" t="s">
        <v>59</v>
      </c>
      <c r="B316">
        <v>2024</v>
      </c>
      <c r="C316">
        <v>5</v>
      </c>
      <c r="D316">
        <f>VLOOKUP(A316,hex!$A$1:$D$52,2,FALSE)</f>
        <v>5</v>
      </c>
      <c r="E316">
        <f>VLOOKUP(A316,hex!$A$1:$D$52,3,FALSE)</f>
        <v>4</v>
      </c>
      <c r="F316" t="str">
        <f>VLOOKUP(A316,hex!$A$1:$D$52,4,FALSE)</f>
        <v>UT</v>
      </c>
    </row>
    <row r="317" spans="1:6">
      <c r="A317" t="s">
        <v>60</v>
      </c>
      <c r="B317">
        <v>2000</v>
      </c>
      <c r="C317">
        <v>1</v>
      </c>
      <c r="D317">
        <f>VLOOKUP(A317,hex!$A$1:$D$52,2,FALSE)</f>
        <v>1</v>
      </c>
      <c r="E317">
        <f>VLOOKUP(A317,hex!$A$1:$D$52,3,FALSE)</f>
        <v>10</v>
      </c>
      <c r="F317" t="str">
        <f>VLOOKUP(A317,hex!$A$1:$D$52,4,FALSE)</f>
        <v>VT</v>
      </c>
    </row>
    <row r="318" spans="1:6">
      <c r="A318" t="s">
        <v>60</v>
      </c>
      <c r="B318">
        <v>2004</v>
      </c>
      <c r="C318">
        <v>1</v>
      </c>
      <c r="D318">
        <f>VLOOKUP(A318,hex!$A$1:$D$52,2,FALSE)</f>
        <v>1</v>
      </c>
      <c r="E318">
        <f>VLOOKUP(A318,hex!$A$1:$D$52,3,FALSE)</f>
        <v>10</v>
      </c>
      <c r="F318" t="str">
        <f>VLOOKUP(A318,hex!$A$1:$D$52,4,FALSE)</f>
        <v>VT</v>
      </c>
    </row>
    <row r="319" spans="1:6">
      <c r="A319" t="s">
        <v>60</v>
      </c>
      <c r="B319">
        <v>2008</v>
      </c>
      <c r="C319">
        <v>1</v>
      </c>
      <c r="D319">
        <f>VLOOKUP(A319,hex!$A$1:$D$52,2,FALSE)</f>
        <v>1</v>
      </c>
      <c r="E319">
        <f>VLOOKUP(A319,hex!$A$1:$D$52,3,FALSE)</f>
        <v>10</v>
      </c>
      <c r="F319" t="str">
        <f>VLOOKUP(A319,hex!$A$1:$D$52,4,FALSE)</f>
        <v>VT</v>
      </c>
    </row>
    <row r="320" spans="1:6">
      <c r="A320" t="s">
        <v>60</v>
      </c>
      <c r="B320">
        <v>2012</v>
      </c>
      <c r="C320">
        <v>1</v>
      </c>
      <c r="D320">
        <f>VLOOKUP(A320,hex!$A$1:$D$52,2,FALSE)</f>
        <v>1</v>
      </c>
      <c r="E320">
        <f>VLOOKUP(A320,hex!$A$1:$D$52,3,FALSE)</f>
        <v>10</v>
      </c>
      <c r="F320" t="str">
        <f>VLOOKUP(A320,hex!$A$1:$D$52,4,FALSE)</f>
        <v>VT</v>
      </c>
    </row>
    <row r="321" spans="1:6">
      <c r="A321" t="s">
        <v>60</v>
      </c>
      <c r="B321">
        <v>2016</v>
      </c>
      <c r="C321">
        <v>2</v>
      </c>
      <c r="D321">
        <f>VLOOKUP(A321,hex!$A$1:$D$52,2,FALSE)</f>
        <v>1</v>
      </c>
      <c r="E321">
        <f>VLOOKUP(A321,hex!$A$1:$D$52,3,FALSE)</f>
        <v>10</v>
      </c>
      <c r="F321" t="str">
        <f>VLOOKUP(A321,hex!$A$1:$D$52,4,FALSE)</f>
        <v>VT</v>
      </c>
    </row>
    <row r="322" spans="1:6">
      <c r="A322" t="s">
        <v>60</v>
      </c>
      <c r="B322">
        <v>2020</v>
      </c>
      <c r="C322">
        <v>6</v>
      </c>
      <c r="D322">
        <f>VLOOKUP(A322,hex!$A$1:$D$52,2,FALSE)</f>
        <v>1</v>
      </c>
      <c r="E322">
        <f>VLOOKUP(A322,hex!$A$1:$D$52,3,FALSE)</f>
        <v>10</v>
      </c>
      <c r="F322" t="str">
        <f>VLOOKUP(A322,hex!$A$1:$D$52,4,FALSE)</f>
        <v>VT</v>
      </c>
    </row>
    <row r="323" spans="1:6">
      <c r="A323" t="s">
        <v>60</v>
      </c>
      <c r="B323">
        <v>2024</v>
      </c>
      <c r="C323">
        <v>6</v>
      </c>
      <c r="D323">
        <f>VLOOKUP(A323,hex!$A$1:$D$52,2,FALSE)</f>
        <v>1</v>
      </c>
      <c r="E323">
        <f>VLOOKUP(A323,hex!$A$1:$D$52,3,FALSE)</f>
        <v>10</v>
      </c>
      <c r="F323" t="str">
        <f>VLOOKUP(A323,hex!$A$1:$D$52,4,FALSE)</f>
        <v>VT</v>
      </c>
    </row>
    <row r="324" spans="1:6">
      <c r="A324" t="s">
        <v>61</v>
      </c>
      <c r="B324">
        <v>2000</v>
      </c>
      <c r="C324">
        <v>1</v>
      </c>
      <c r="D324">
        <f>VLOOKUP(A324,hex!$A$1:$D$52,2,FALSE)</f>
        <v>5</v>
      </c>
      <c r="E324">
        <f>VLOOKUP(A324,hex!$A$1:$D$52,3,FALSE)</f>
        <v>8</v>
      </c>
      <c r="F324" t="str">
        <f>VLOOKUP(A324,hex!$A$1:$D$52,4,FALSE)</f>
        <v>VA</v>
      </c>
    </row>
    <row r="325" spans="1:6">
      <c r="A325" t="s">
        <v>61</v>
      </c>
      <c r="B325">
        <v>2004</v>
      </c>
      <c r="C325">
        <v>1</v>
      </c>
      <c r="D325">
        <f>VLOOKUP(A325,hex!$A$1:$D$52,2,FALSE)</f>
        <v>5</v>
      </c>
      <c r="E325">
        <f>VLOOKUP(A325,hex!$A$1:$D$52,3,FALSE)</f>
        <v>8</v>
      </c>
      <c r="F325" t="str">
        <f>VLOOKUP(A325,hex!$A$1:$D$52,4,FALSE)</f>
        <v>VA</v>
      </c>
    </row>
    <row r="326" spans="1:6">
      <c r="A326" t="s">
        <v>61</v>
      </c>
      <c r="B326">
        <v>2008</v>
      </c>
      <c r="C326">
        <v>1</v>
      </c>
      <c r="D326">
        <f>VLOOKUP(A326,hex!$A$1:$D$52,2,FALSE)</f>
        <v>5</v>
      </c>
      <c r="E326">
        <f>VLOOKUP(A326,hex!$A$1:$D$52,3,FALSE)</f>
        <v>8</v>
      </c>
      <c r="F326" t="str">
        <f>VLOOKUP(A326,hex!$A$1:$D$52,4,FALSE)</f>
        <v>VA</v>
      </c>
    </row>
    <row r="327" spans="1:6">
      <c r="A327" t="s">
        <v>61</v>
      </c>
      <c r="B327">
        <v>2012</v>
      </c>
      <c r="C327">
        <v>1</v>
      </c>
      <c r="D327">
        <f>VLOOKUP(A327,hex!$A$1:$D$52,2,FALSE)</f>
        <v>5</v>
      </c>
      <c r="E327">
        <f>VLOOKUP(A327,hex!$A$1:$D$52,3,FALSE)</f>
        <v>8</v>
      </c>
      <c r="F327" t="str">
        <f>VLOOKUP(A327,hex!$A$1:$D$52,4,FALSE)</f>
        <v>VA</v>
      </c>
    </row>
    <row r="328" spans="1:6">
      <c r="A328" t="s">
        <v>61</v>
      </c>
      <c r="B328">
        <v>2016</v>
      </c>
      <c r="C328">
        <v>2</v>
      </c>
      <c r="D328">
        <f>VLOOKUP(A328,hex!$A$1:$D$52,2,FALSE)</f>
        <v>5</v>
      </c>
      <c r="E328">
        <f>VLOOKUP(A328,hex!$A$1:$D$52,3,FALSE)</f>
        <v>8</v>
      </c>
      <c r="F328" t="str">
        <f>VLOOKUP(A328,hex!$A$1:$D$52,4,FALSE)</f>
        <v>VA</v>
      </c>
    </row>
    <row r="329" spans="1:6">
      <c r="A329" t="s">
        <v>61</v>
      </c>
      <c r="B329">
        <v>2020</v>
      </c>
      <c r="C329">
        <v>4</v>
      </c>
      <c r="D329">
        <f>VLOOKUP(A329,hex!$A$1:$D$52,2,FALSE)</f>
        <v>5</v>
      </c>
      <c r="E329">
        <f>VLOOKUP(A329,hex!$A$1:$D$52,3,FALSE)</f>
        <v>8</v>
      </c>
      <c r="F329" t="str">
        <f>VLOOKUP(A329,hex!$A$1:$D$52,4,FALSE)</f>
        <v>VA</v>
      </c>
    </row>
    <row r="330" spans="1:6">
      <c r="A330" t="s">
        <v>61</v>
      </c>
      <c r="B330">
        <v>2024</v>
      </c>
      <c r="C330">
        <v>6</v>
      </c>
      <c r="D330">
        <f>VLOOKUP(A330,hex!$A$1:$D$52,2,FALSE)</f>
        <v>5</v>
      </c>
      <c r="E330">
        <f>VLOOKUP(A330,hex!$A$1:$D$52,3,FALSE)</f>
        <v>8</v>
      </c>
      <c r="F330" t="str">
        <f>VLOOKUP(A330,hex!$A$1:$D$52,4,FALSE)</f>
        <v>VA</v>
      </c>
    </row>
    <row r="331" spans="1:6">
      <c r="A331" t="s">
        <v>62</v>
      </c>
      <c r="B331">
        <v>2000</v>
      </c>
      <c r="C331">
        <v>1</v>
      </c>
      <c r="D331">
        <f>VLOOKUP(A331,hex!$A$1:$D$52,2,FALSE)</f>
        <v>2</v>
      </c>
      <c r="E331">
        <f>VLOOKUP(A331,hex!$A$1:$D$52,3,FALSE)</f>
        <v>1.5</v>
      </c>
      <c r="F331" t="str">
        <f>VLOOKUP(A331,hex!$A$1:$D$52,4,FALSE)</f>
        <v>WA</v>
      </c>
    </row>
    <row r="332" spans="1:6">
      <c r="A332" t="s">
        <v>62</v>
      </c>
      <c r="B332">
        <v>2004</v>
      </c>
      <c r="C332">
        <v>1</v>
      </c>
      <c r="D332">
        <f>VLOOKUP(A332,hex!$A$1:$D$52,2,FALSE)</f>
        <v>2</v>
      </c>
      <c r="E332">
        <f>VLOOKUP(A332,hex!$A$1:$D$52,3,FALSE)</f>
        <v>1.5</v>
      </c>
      <c r="F332" t="str">
        <f>VLOOKUP(A332,hex!$A$1:$D$52,4,FALSE)</f>
        <v>WA</v>
      </c>
    </row>
    <row r="333" spans="1:6">
      <c r="A333" t="s">
        <v>62</v>
      </c>
      <c r="B333">
        <v>2008</v>
      </c>
      <c r="C333">
        <v>2</v>
      </c>
      <c r="D333">
        <f>VLOOKUP(A333,hex!$A$1:$D$52,2,FALSE)</f>
        <v>2</v>
      </c>
      <c r="E333">
        <f>VLOOKUP(A333,hex!$A$1:$D$52,3,FALSE)</f>
        <v>1.5</v>
      </c>
      <c r="F333" t="str">
        <f>VLOOKUP(A333,hex!$A$1:$D$52,4,FALSE)</f>
        <v>WA</v>
      </c>
    </row>
    <row r="334" spans="1:6">
      <c r="A334" t="s">
        <v>62</v>
      </c>
      <c r="B334">
        <v>2012</v>
      </c>
      <c r="C334">
        <v>2</v>
      </c>
      <c r="D334">
        <f>VLOOKUP(A334,hex!$A$1:$D$52,2,FALSE)</f>
        <v>2</v>
      </c>
      <c r="E334">
        <f>VLOOKUP(A334,hex!$A$1:$D$52,3,FALSE)</f>
        <v>1.5</v>
      </c>
      <c r="F334" t="str">
        <f>VLOOKUP(A334,hex!$A$1:$D$52,4,FALSE)</f>
        <v>WA</v>
      </c>
    </row>
    <row r="335" spans="1:6">
      <c r="A335" t="s">
        <v>62</v>
      </c>
      <c r="B335">
        <v>2016</v>
      </c>
      <c r="C335">
        <v>2</v>
      </c>
      <c r="D335">
        <f>VLOOKUP(A335,hex!$A$1:$D$52,2,FALSE)</f>
        <v>2</v>
      </c>
      <c r="E335">
        <f>VLOOKUP(A335,hex!$A$1:$D$52,3,FALSE)</f>
        <v>1.5</v>
      </c>
      <c r="F335" t="str">
        <f>VLOOKUP(A335,hex!$A$1:$D$52,4,FALSE)</f>
        <v>WA</v>
      </c>
    </row>
    <row r="336" spans="1:6">
      <c r="A336" t="s">
        <v>62</v>
      </c>
      <c r="B336">
        <v>2020</v>
      </c>
      <c r="C336">
        <v>6</v>
      </c>
      <c r="D336">
        <f>VLOOKUP(A336,hex!$A$1:$D$52,2,FALSE)</f>
        <v>2</v>
      </c>
      <c r="E336">
        <f>VLOOKUP(A336,hex!$A$1:$D$52,3,FALSE)</f>
        <v>1.5</v>
      </c>
      <c r="F336" t="str">
        <f>VLOOKUP(A336,hex!$A$1:$D$52,4,FALSE)</f>
        <v>WA</v>
      </c>
    </row>
    <row r="337" spans="1:6">
      <c r="A337" t="s">
        <v>62</v>
      </c>
      <c r="B337">
        <v>2024</v>
      </c>
      <c r="C337">
        <v>6</v>
      </c>
      <c r="D337">
        <f>VLOOKUP(A337,hex!$A$1:$D$52,2,FALSE)</f>
        <v>2</v>
      </c>
      <c r="E337">
        <f>VLOOKUP(A337,hex!$A$1:$D$52,3,FALSE)</f>
        <v>1.5</v>
      </c>
      <c r="F337" t="str">
        <f>VLOOKUP(A337,hex!$A$1:$D$52,4,FALSE)</f>
        <v>WA</v>
      </c>
    </row>
    <row r="338" spans="1:6">
      <c r="A338" t="s">
        <v>63</v>
      </c>
      <c r="B338">
        <v>2000</v>
      </c>
      <c r="C338">
        <v>1</v>
      </c>
      <c r="D338">
        <f>VLOOKUP(A338,hex!$A$1:$D$52,2,FALSE)</f>
        <v>4</v>
      </c>
      <c r="E338">
        <f>VLOOKUP(A338,hex!$A$1:$D$52,3,FALSE)</f>
        <v>7.5</v>
      </c>
      <c r="F338" t="str">
        <f>VLOOKUP(A338,hex!$A$1:$D$52,4,FALSE)</f>
        <v>WV</v>
      </c>
    </row>
    <row r="339" spans="1:6">
      <c r="A339" t="s">
        <v>63</v>
      </c>
      <c r="B339">
        <v>2004</v>
      </c>
      <c r="C339">
        <v>1</v>
      </c>
      <c r="D339">
        <f>VLOOKUP(A339,hex!$A$1:$D$52,2,FALSE)</f>
        <v>4</v>
      </c>
      <c r="E339">
        <f>VLOOKUP(A339,hex!$A$1:$D$52,3,FALSE)</f>
        <v>7.5</v>
      </c>
      <c r="F339" t="str">
        <f>VLOOKUP(A339,hex!$A$1:$D$52,4,FALSE)</f>
        <v>WV</v>
      </c>
    </row>
    <row r="340" spans="1:6">
      <c r="A340" t="s">
        <v>63</v>
      </c>
      <c r="B340">
        <v>2008</v>
      </c>
      <c r="C340">
        <v>1</v>
      </c>
      <c r="D340">
        <f>VLOOKUP(A340,hex!$A$1:$D$52,2,FALSE)</f>
        <v>4</v>
      </c>
      <c r="E340">
        <f>VLOOKUP(A340,hex!$A$1:$D$52,3,FALSE)</f>
        <v>7.5</v>
      </c>
      <c r="F340" t="str">
        <f>VLOOKUP(A340,hex!$A$1:$D$52,4,FALSE)</f>
        <v>WV</v>
      </c>
    </row>
    <row r="341" spans="1:6">
      <c r="A341" t="s">
        <v>63</v>
      </c>
      <c r="B341">
        <v>2012</v>
      </c>
      <c r="C341">
        <v>1</v>
      </c>
      <c r="D341">
        <f>VLOOKUP(A341,hex!$A$1:$D$52,2,FALSE)</f>
        <v>4</v>
      </c>
      <c r="E341">
        <f>VLOOKUP(A341,hex!$A$1:$D$52,3,FALSE)</f>
        <v>7.5</v>
      </c>
      <c r="F341" t="str">
        <f>VLOOKUP(A341,hex!$A$1:$D$52,4,FALSE)</f>
        <v>WV</v>
      </c>
    </row>
    <row r="342" spans="1:6">
      <c r="A342" t="s">
        <v>63</v>
      </c>
      <c r="B342">
        <v>2016</v>
      </c>
      <c r="C342">
        <v>2</v>
      </c>
      <c r="D342">
        <f>VLOOKUP(A342,hex!$A$1:$D$52,2,FALSE)</f>
        <v>4</v>
      </c>
      <c r="E342">
        <f>VLOOKUP(A342,hex!$A$1:$D$52,3,FALSE)</f>
        <v>7.5</v>
      </c>
      <c r="F342" t="str">
        <f>VLOOKUP(A342,hex!$A$1:$D$52,4,FALSE)</f>
        <v>WV</v>
      </c>
    </row>
    <row r="343" spans="1:6">
      <c r="A343" t="s">
        <v>63</v>
      </c>
      <c r="B343">
        <v>2020</v>
      </c>
      <c r="C343">
        <v>2</v>
      </c>
      <c r="D343">
        <f>VLOOKUP(A343,hex!$A$1:$D$52,2,FALSE)</f>
        <v>4</v>
      </c>
      <c r="E343">
        <f>VLOOKUP(A343,hex!$A$1:$D$52,3,FALSE)</f>
        <v>7.5</v>
      </c>
      <c r="F343" t="str">
        <f>VLOOKUP(A343,hex!$A$1:$D$52,4,FALSE)</f>
        <v>WV</v>
      </c>
    </row>
    <row r="344" spans="1:6">
      <c r="A344" t="s">
        <v>63</v>
      </c>
      <c r="B344">
        <v>2024</v>
      </c>
      <c r="C344">
        <v>4</v>
      </c>
      <c r="D344">
        <f>VLOOKUP(A344,hex!$A$1:$D$52,2,FALSE)</f>
        <v>4</v>
      </c>
      <c r="E344">
        <f>VLOOKUP(A344,hex!$A$1:$D$52,3,FALSE)</f>
        <v>7.5</v>
      </c>
      <c r="F344" t="str">
        <f>VLOOKUP(A344,hex!$A$1:$D$52,4,FALSE)</f>
        <v>WV</v>
      </c>
    </row>
    <row r="345" spans="1:6">
      <c r="A345" t="s">
        <v>65</v>
      </c>
      <c r="B345">
        <v>2000</v>
      </c>
      <c r="C345">
        <v>3</v>
      </c>
      <c r="D345">
        <f>VLOOKUP(A345,hex!$A$1:$D$52,2,FALSE)</f>
        <v>2</v>
      </c>
      <c r="E345">
        <f>VLOOKUP(A345,hex!$A$1:$D$52,3,FALSE)</f>
        <v>5.5</v>
      </c>
      <c r="F345" t="str">
        <f>VLOOKUP(A345,hex!$A$1:$D$52,4,FALSE)</f>
        <v>WI</v>
      </c>
    </row>
    <row r="346" spans="1:6">
      <c r="A346" t="s">
        <v>65</v>
      </c>
      <c r="B346">
        <v>2004</v>
      </c>
      <c r="C346">
        <v>3</v>
      </c>
      <c r="D346">
        <f>VLOOKUP(A346,hex!$A$1:$D$52,2,FALSE)</f>
        <v>2</v>
      </c>
      <c r="E346">
        <f>VLOOKUP(A346,hex!$A$1:$D$52,3,FALSE)</f>
        <v>5.5</v>
      </c>
      <c r="F346" t="str">
        <f>VLOOKUP(A346,hex!$A$1:$D$52,4,FALSE)</f>
        <v>WI</v>
      </c>
    </row>
    <row r="347" spans="1:6">
      <c r="A347" t="s">
        <v>65</v>
      </c>
      <c r="B347">
        <v>2008</v>
      </c>
      <c r="C347">
        <v>3</v>
      </c>
      <c r="D347">
        <f>VLOOKUP(A347,hex!$A$1:$D$52,2,FALSE)</f>
        <v>2</v>
      </c>
      <c r="E347">
        <f>VLOOKUP(A347,hex!$A$1:$D$52,3,FALSE)</f>
        <v>5.5</v>
      </c>
      <c r="F347" t="str">
        <f>VLOOKUP(A347,hex!$A$1:$D$52,4,FALSE)</f>
        <v>WI</v>
      </c>
    </row>
    <row r="348" spans="1:6">
      <c r="A348" t="s">
        <v>65</v>
      </c>
      <c r="B348">
        <v>2012</v>
      </c>
      <c r="C348">
        <v>3</v>
      </c>
      <c r="D348">
        <f>VLOOKUP(A348,hex!$A$1:$D$52,2,FALSE)</f>
        <v>2</v>
      </c>
      <c r="E348">
        <f>VLOOKUP(A348,hex!$A$1:$D$52,3,FALSE)</f>
        <v>5.5</v>
      </c>
      <c r="F348" t="str">
        <f>VLOOKUP(A348,hex!$A$1:$D$52,4,FALSE)</f>
        <v>WI</v>
      </c>
    </row>
    <row r="349" spans="1:6">
      <c r="A349" t="s">
        <v>65</v>
      </c>
      <c r="B349">
        <v>2016</v>
      </c>
      <c r="C349">
        <v>3</v>
      </c>
      <c r="D349">
        <f>VLOOKUP(A349,hex!$A$1:$D$52,2,FALSE)</f>
        <v>2</v>
      </c>
      <c r="E349">
        <f>VLOOKUP(A349,hex!$A$1:$D$52,3,FALSE)</f>
        <v>5.5</v>
      </c>
      <c r="F349" t="str">
        <f>VLOOKUP(A349,hex!$A$1:$D$52,4,FALSE)</f>
        <v>WI</v>
      </c>
    </row>
    <row r="350" spans="1:6">
      <c r="A350" t="s">
        <v>65</v>
      </c>
      <c r="B350">
        <v>2020</v>
      </c>
      <c r="C350">
        <v>5</v>
      </c>
      <c r="D350">
        <f>VLOOKUP(A350,hex!$A$1:$D$52,2,FALSE)</f>
        <v>2</v>
      </c>
      <c r="E350">
        <f>VLOOKUP(A350,hex!$A$1:$D$52,3,FALSE)</f>
        <v>5.5</v>
      </c>
      <c r="F350" t="str">
        <f>VLOOKUP(A350,hex!$A$1:$D$52,4,FALSE)</f>
        <v>WI</v>
      </c>
    </row>
    <row r="351" spans="1:6">
      <c r="A351" t="s">
        <v>65</v>
      </c>
      <c r="B351">
        <v>2024</v>
      </c>
      <c r="C351">
        <v>5</v>
      </c>
      <c r="D351">
        <f>VLOOKUP(A351,hex!$A$1:$D$52,2,FALSE)</f>
        <v>2</v>
      </c>
      <c r="E351">
        <f>VLOOKUP(A351,hex!$A$1:$D$52,3,FALSE)</f>
        <v>5.5</v>
      </c>
      <c r="F351" t="str">
        <f>VLOOKUP(A351,hex!$A$1:$D$52,4,FALSE)</f>
        <v>WI</v>
      </c>
    </row>
    <row r="352" spans="1:6">
      <c r="A352" t="s">
        <v>66</v>
      </c>
      <c r="B352">
        <v>2000</v>
      </c>
      <c r="C352">
        <v>3</v>
      </c>
      <c r="D352">
        <f>VLOOKUP(A352,hex!$A$1:$D$52,2,FALSE)</f>
        <v>3</v>
      </c>
      <c r="E352">
        <f>VLOOKUP(A352,hex!$A$1:$D$52,3,FALSE)</f>
        <v>3</v>
      </c>
      <c r="F352" t="str">
        <f>VLOOKUP(A352,hex!$A$1:$D$52,4,FALSE)</f>
        <v>WY</v>
      </c>
    </row>
    <row r="353" spans="1:6">
      <c r="A353" t="s">
        <v>66</v>
      </c>
      <c r="B353">
        <v>2004</v>
      </c>
      <c r="C353">
        <v>3</v>
      </c>
      <c r="D353">
        <f>VLOOKUP(A353,hex!$A$1:$D$52,2,FALSE)</f>
        <v>3</v>
      </c>
      <c r="E353">
        <f>VLOOKUP(A353,hex!$A$1:$D$52,3,FALSE)</f>
        <v>3</v>
      </c>
      <c r="F353" t="str">
        <f>VLOOKUP(A353,hex!$A$1:$D$52,4,FALSE)</f>
        <v>WY</v>
      </c>
    </row>
    <row r="354" spans="1:6">
      <c r="A354" t="s">
        <v>66</v>
      </c>
      <c r="B354">
        <v>2008</v>
      </c>
      <c r="C354">
        <v>3</v>
      </c>
      <c r="D354">
        <f>VLOOKUP(A354,hex!$A$1:$D$52,2,FALSE)</f>
        <v>3</v>
      </c>
      <c r="E354">
        <f>VLOOKUP(A354,hex!$A$1:$D$52,3,FALSE)</f>
        <v>3</v>
      </c>
      <c r="F354" t="str">
        <f>VLOOKUP(A354,hex!$A$1:$D$52,4,FALSE)</f>
        <v>WY</v>
      </c>
    </row>
    <row r="355" spans="1:6">
      <c r="A355" t="s">
        <v>66</v>
      </c>
      <c r="B355">
        <v>2012</v>
      </c>
      <c r="C355">
        <v>3</v>
      </c>
      <c r="D355">
        <f>VLOOKUP(A355,hex!$A$1:$D$52,2,FALSE)</f>
        <v>3</v>
      </c>
      <c r="E355">
        <f>VLOOKUP(A355,hex!$A$1:$D$52,3,FALSE)</f>
        <v>3</v>
      </c>
      <c r="F355" t="str">
        <f>VLOOKUP(A355,hex!$A$1:$D$52,4,FALSE)</f>
        <v>WY</v>
      </c>
    </row>
    <row r="356" spans="1:6">
      <c r="A356" t="s">
        <v>66</v>
      </c>
      <c r="B356">
        <v>2016</v>
      </c>
      <c r="C356">
        <v>3</v>
      </c>
      <c r="D356">
        <f>VLOOKUP(A356,hex!$A$1:$D$52,2,FALSE)</f>
        <v>3</v>
      </c>
      <c r="E356">
        <f>VLOOKUP(A356,hex!$A$1:$D$52,3,FALSE)</f>
        <v>3</v>
      </c>
      <c r="F356" t="str">
        <f>VLOOKUP(A356,hex!$A$1:$D$52,4,FALSE)</f>
        <v>WY</v>
      </c>
    </row>
    <row r="357" spans="1:6">
      <c r="A357" t="s">
        <v>66</v>
      </c>
      <c r="B357">
        <v>2020</v>
      </c>
      <c r="C357">
        <v>3</v>
      </c>
      <c r="D357">
        <f>VLOOKUP(A357,hex!$A$1:$D$52,2,FALSE)</f>
        <v>3</v>
      </c>
      <c r="E357">
        <f>VLOOKUP(A357,hex!$A$1:$D$52,3,FALSE)</f>
        <v>3</v>
      </c>
      <c r="F357" t="str">
        <f>VLOOKUP(A357,hex!$A$1:$D$52,4,FALSE)</f>
        <v>WY</v>
      </c>
    </row>
    <row r="358" spans="1:6">
      <c r="A358" t="s">
        <v>66</v>
      </c>
      <c r="B358">
        <v>2024</v>
      </c>
      <c r="C358">
        <v>3</v>
      </c>
      <c r="D358">
        <f>VLOOKUP(A358,hex!$A$1:$D$52,2,FALSE)</f>
        <v>3</v>
      </c>
      <c r="E358">
        <f>VLOOKUP(A358,hex!$A$1:$D$52,3,FALSE)</f>
        <v>3</v>
      </c>
      <c r="F358" t="str">
        <f>VLOOKUP(A358,hex!$A$1:$D$52,4,FALSE)</f>
        <v>WY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E348-92A9-46DE-BA3D-885C9C400688}">
  <dimension ref="A1:D52"/>
  <sheetViews>
    <sheetView tabSelected="1" workbookViewId="0">
      <selection activeCell="G8" sqref="G8"/>
    </sheetView>
  </sheetViews>
  <sheetFormatPr defaultRowHeight="14.45"/>
  <sheetData>
    <row r="1" spans="1:4" ht="15.95" thickBot="1">
      <c r="A1" s="9" t="s">
        <v>0</v>
      </c>
      <c r="B1" s="9" t="s">
        <v>87</v>
      </c>
      <c r="C1" s="9" t="s">
        <v>88</v>
      </c>
      <c r="D1" s="10" t="s">
        <v>89</v>
      </c>
    </row>
    <row r="2" spans="1:4" ht="15.95" thickBot="1">
      <c r="A2" s="9" t="s">
        <v>4</v>
      </c>
      <c r="B2" s="11">
        <v>0</v>
      </c>
      <c r="C2" s="11">
        <v>0.5</v>
      </c>
      <c r="D2" s="9" t="s">
        <v>90</v>
      </c>
    </row>
    <row r="3" spans="1:4" ht="31.5" thickBot="1">
      <c r="A3" s="9" t="s">
        <v>2</v>
      </c>
      <c r="B3" s="11">
        <v>6</v>
      </c>
      <c r="C3" s="11">
        <v>7.5</v>
      </c>
      <c r="D3" s="9" t="s">
        <v>91</v>
      </c>
    </row>
    <row r="4" spans="1:4" ht="31.5" thickBot="1">
      <c r="A4" s="9" t="s">
        <v>8</v>
      </c>
      <c r="B4" s="11">
        <v>5</v>
      </c>
      <c r="C4" s="11">
        <v>6</v>
      </c>
      <c r="D4" s="9" t="s">
        <v>92</v>
      </c>
    </row>
    <row r="5" spans="1:4" ht="15.95" thickBot="1">
      <c r="A5" s="9" t="s">
        <v>6</v>
      </c>
      <c r="B5" s="11">
        <v>5</v>
      </c>
      <c r="C5" s="11">
        <v>3</v>
      </c>
      <c r="D5" s="9" t="s">
        <v>93</v>
      </c>
    </row>
    <row r="6" spans="1:4" ht="31.5" thickBot="1">
      <c r="A6" s="9" t="s">
        <v>10</v>
      </c>
      <c r="B6" s="11">
        <v>5</v>
      </c>
      <c r="C6" s="11">
        <v>2</v>
      </c>
      <c r="D6" s="9" t="s">
        <v>94</v>
      </c>
    </row>
    <row r="7" spans="1:4" ht="31.5" thickBot="1">
      <c r="A7" s="9" t="s">
        <v>12</v>
      </c>
      <c r="B7" s="11">
        <v>4</v>
      </c>
      <c r="C7" s="11">
        <v>3.5</v>
      </c>
      <c r="D7" s="9" t="s">
        <v>95</v>
      </c>
    </row>
    <row r="8" spans="1:4" ht="31.5" thickBot="1">
      <c r="A8" s="9" t="s">
        <v>14</v>
      </c>
      <c r="B8" s="11">
        <v>3</v>
      </c>
      <c r="C8" s="11">
        <v>11</v>
      </c>
      <c r="D8" s="9" t="s">
        <v>96</v>
      </c>
    </row>
    <row r="9" spans="1:4" ht="15.95" thickBot="1">
      <c r="A9" s="9" t="s">
        <v>17</v>
      </c>
      <c r="B9" s="11">
        <v>4</v>
      </c>
      <c r="C9" s="11">
        <v>10.5</v>
      </c>
      <c r="D9" s="9" t="s">
        <v>97</v>
      </c>
    </row>
    <row r="10" spans="1:4" ht="31.5" thickBot="1">
      <c r="A10" s="9" t="s">
        <v>18</v>
      </c>
      <c r="B10" s="11">
        <v>4</v>
      </c>
      <c r="C10" s="11">
        <v>9.5</v>
      </c>
      <c r="D10" s="9" t="s">
        <v>98</v>
      </c>
    </row>
    <row r="11" spans="1:4" ht="15.95" thickBot="1">
      <c r="A11" s="9" t="s">
        <v>19</v>
      </c>
      <c r="B11" s="11">
        <v>8</v>
      </c>
      <c r="C11" s="11">
        <v>8.5</v>
      </c>
      <c r="D11" s="9" t="s">
        <v>99</v>
      </c>
    </row>
    <row r="12" spans="1:4" ht="15.95" thickBot="1">
      <c r="A12" s="9" t="s">
        <v>20</v>
      </c>
      <c r="B12" s="11">
        <v>7</v>
      </c>
      <c r="C12" s="11">
        <v>8</v>
      </c>
      <c r="D12" s="9" t="s">
        <v>100</v>
      </c>
    </row>
    <row r="13" spans="1:4" ht="15.95" thickBot="1">
      <c r="A13" s="9" t="s">
        <v>21</v>
      </c>
      <c r="B13" s="11">
        <v>8</v>
      </c>
      <c r="C13" s="11">
        <v>0.5</v>
      </c>
      <c r="D13" s="9" t="s">
        <v>101</v>
      </c>
    </row>
    <row r="14" spans="1:4" ht="15.95" thickBot="1">
      <c r="A14" s="9" t="s">
        <v>26</v>
      </c>
      <c r="B14" s="11">
        <v>3</v>
      </c>
      <c r="C14" s="11">
        <v>5</v>
      </c>
      <c r="D14" s="9" t="s">
        <v>102</v>
      </c>
    </row>
    <row r="15" spans="1:4" ht="15.95" thickBot="1">
      <c r="A15" s="9" t="s">
        <v>23</v>
      </c>
      <c r="B15" s="11">
        <v>3</v>
      </c>
      <c r="C15" s="11">
        <v>2</v>
      </c>
      <c r="D15" s="9" t="s">
        <v>103</v>
      </c>
    </row>
    <row r="16" spans="1:4" ht="15.95" thickBot="1">
      <c r="A16" s="9" t="s">
        <v>24</v>
      </c>
      <c r="B16" s="11">
        <v>3</v>
      </c>
      <c r="C16" s="11">
        <v>6</v>
      </c>
      <c r="D16" s="9" t="s">
        <v>104</v>
      </c>
    </row>
    <row r="17" spans="1:4" ht="15.95" thickBot="1">
      <c r="A17" s="9" t="s">
        <v>25</v>
      </c>
      <c r="B17" s="11">
        <v>3</v>
      </c>
      <c r="C17" s="11">
        <v>7</v>
      </c>
      <c r="D17" s="9" t="s">
        <v>105</v>
      </c>
    </row>
    <row r="18" spans="1:4" ht="15.95" thickBot="1">
      <c r="A18" s="9" t="s">
        <v>27</v>
      </c>
      <c r="B18" s="11">
        <v>5</v>
      </c>
      <c r="C18" s="11">
        <v>5</v>
      </c>
      <c r="D18" s="9" t="s">
        <v>106</v>
      </c>
    </row>
    <row r="19" spans="1:4" ht="31.5" thickBot="1">
      <c r="A19" s="9" t="s">
        <v>28</v>
      </c>
      <c r="B19" s="11">
        <v>4</v>
      </c>
      <c r="C19" s="11">
        <v>6.5</v>
      </c>
      <c r="D19" s="9" t="s">
        <v>107</v>
      </c>
    </row>
    <row r="20" spans="1:4" ht="31.5" thickBot="1">
      <c r="A20" s="9" t="s">
        <v>29</v>
      </c>
      <c r="B20" s="11">
        <v>6</v>
      </c>
      <c r="C20" s="11">
        <v>5.5</v>
      </c>
      <c r="D20" s="9" t="s">
        <v>108</v>
      </c>
    </row>
    <row r="21" spans="1:4" ht="31.5" thickBot="1">
      <c r="A21" s="9" t="s">
        <v>33</v>
      </c>
      <c r="B21" s="11">
        <v>2</v>
      </c>
      <c r="C21" s="11">
        <v>10.5</v>
      </c>
      <c r="D21" s="9" t="s">
        <v>109</v>
      </c>
    </row>
    <row r="22" spans="1:4" ht="31.5" thickBot="1">
      <c r="A22" s="9" t="s">
        <v>31</v>
      </c>
      <c r="B22" s="11">
        <v>4</v>
      </c>
      <c r="C22" s="11">
        <v>8.5</v>
      </c>
      <c r="D22" s="9" t="s">
        <v>110</v>
      </c>
    </row>
    <row r="23" spans="1:4" ht="15.95" thickBot="1">
      <c r="A23" s="9" t="s">
        <v>30</v>
      </c>
      <c r="B23" s="11">
        <v>0</v>
      </c>
      <c r="C23" s="11">
        <v>11.5</v>
      </c>
      <c r="D23" s="9" t="s">
        <v>111</v>
      </c>
    </row>
    <row r="24" spans="1:4" ht="31.5" thickBot="1">
      <c r="A24" s="9" t="s">
        <v>35</v>
      </c>
      <c r="B24" s="11">
        <v>2</v>
      </c>
      <c r="C24" s="11">
        <v>7.5</v>
      </c>
      <c r="D24" s="9" t="s">
        <v>112</v>
      </c>
    </row>
    <row r="25" spans="1:4" ht="31.5" thickBot="1">
      <c r="A25" s="9" t="s">
        <v>36</v>
      </c>
      <c r="B25" s="11">
        <v>2</v>
      </c>
      <c r="C25" s="11">
        <v>4.5</v>
      </c>
      <c r="D25" s="9" t="s">
        <v>113</v>
      </c>
    </row>
    <row r="26" spans="1:4" ht="15.95" thickBot="1">
      <c r="A26" s="9" t="s">
        <v>38</v>
      </c>
      <c r="B26" s="11">
        <v>4</v>
      </c>
      <c r="C26" s="11">
        <v>5.5</v>
      </c>
      <c r="D26" s="9" t="s">
        <v>114</v>
      </c>
    </row>
    <row r="27" spans="1:4" ht="31.5" thickBot="1">
      <c r="A27" s="9" t="s">
        <v>37</v>
      </c>
      <c r="B27" s="11">
        <v>6</v>
      </c>
      <c r="C27" s="11">
        <v>6.5</v>
      </c>
      <c r="D27" s="9" t="s">
        <v>115</v>
      </c>
    </row>
    <row r="28" spans="1:4" ht="31.5" thickBot="1">
      <c r="A28" s="9" t="s">
        <v>39</v>
      </c>
      <c r="B28" s="11">
        <v>2</v>
      </c>
      <c r="C28" s="11">
        <v>2.5</v>
      </c>
      <c r="D28" s="9" t="s">
        <v>116</v>
      </c>
    </row>
    <row r="29" spans="1:4" ht="31.5" thickBot="1">
      <c r="A29" s="9" t="s">
        <v>47</v>
      </c>
      <c r="B29" s="11">
        <v>5</v>
      </c>
      <c r="C29" s="11">
        <v>9</v>
      </c>
      <c r="D29" s="9" t="s">
        <v>117</v>
      </c>
    </row>
    <row r="30" spans="1:4" ht="31.5" thickBot="1">
      <c r="A30" s="9" t="s">
        <v>48</v>
      </c>
      <c r="B30" s="11">
        <v>2</v>
      </c>
      <c r="C30" s="11">
        <v>3.5</v>
      </c>
      <c r="D30" s="9" t="s">
        <v>118</v>
      </c>
    </row>
    <row r="31" spans="1:4" ht="31.5" thickBot="1">
      <c r="A31" s="9" t="s">
        <v>40</v>
      </c>
      <c r="B31" s="11">
        <v>4</v>
      </c>
      <c r="C31" s="11">
        <v>4.5</v>
      </c>
      <c r="D31" s="9" t="s">
        <v>119</v>
      </c>
    </row>
    <row r="32" spans="1:4" ht="47.1" thickBot="1">
      <c r="A32" s="9" t="s">
        <v>42</v>
      </c>
      <c r="B32" s="11">
        <v>1</v>
      </c>
      <c r="C32" s="11">
        <v>11</v>
      </c>
      <c r="D32" s="9" t="s">
        <v>120</v>
      </c>
    </row>
    <row r="33" spans="1:4" ht="31.5" thickBot="1">
      <c r="A33" s="9" t="s">
        <v>43</v>
      </c>
      <c r="B33" s="11">
        <v>3</v>
      </c>
      <c r="C33" s="11">
        <v>10</v>
      </c>
      <c r="D33" s="9" t="s">
        <v>121</v>
      </c>
    </row>
    <row r="34" spans="1:4" ht="31.5" thickBot="1">
      <c r="A34" s="9" t="s">
        <v>44</v>
      </c>
      <c r="B34" s="11">
        <v>6</v>
      </c>
      <c r="C34" s="11">
        <v>3.5</v>
      </c>
      <c r="D34" s="9" t="s">
        <v>122</v>
      </c>
    </row>
    <row r="35" spans="1:4" ht="15.95" thickBot="1">
      <c r="A35" s="9" t="s">
        <v>41</v>
      </c>
      <c r="B35" s="11">
        <v>4</v>
      </c>
      <c r="C35" s="11">
        <v>2.5</v>
      </c>
      <c r="D35" s="9" t="s">
        <v>123</v>
      </c>
    </row>
    <row r="36" spans="1:4" ht="31.5" thickBot="1">
      <c r="A36" s="9" t="s">
        <v>46</v>
      </c>
      <c r="B36" s="11">
        <v>2</v>
      </c>
      <c r="C36" s="11">
        <v>9.5</v>
      </c>
      <c r="D36" s="9" t="s">
        <v>124</v>
      </c>
    </row>
    <row r="37" spans="1:4" ht="15.95" thickBot="1">
      <c r="A37" s="9" t="s">
        <v>49</v>
      </c>
      <c r="B37" s="11">
        <v>3</v>
      </c>
      <c r="C37" s="11">
        <v>8</v>
      </c>
      <c r="D37" s="9" t="s">
        <v>125</v>
      </c>
    </row>
    <row r="38" spans="1:4" ht="31.5" thickBot="1">
      <c r="A38" s="9" t="s">
        <v>50</v>
      </c>
      <c r="B38" s="11">
        <v>6</v>
      </c>
      <c r="C38" s="11">
        <v>4.5</v>
      </c>
      <c r="D38" s="9" t="s">
        <v>126</v>
      </c>
    </row>
    <row r="39" spans="1:4" ht="15.95" thickBot="1">
      <c r="A39" s="9" t="s">
        <v>51</v>
      </c>
      <c r="B39" s="11">
        <v>4</v>
      </c>
      <c r="C39" s="11">
        <v>1.5</v>
      </c>
      <c r="D39" s="9" t="s">
        <v>127</v>
      </c>
    </row>
    <row r="40" spans="1:4" ht="31.5" thickBot="1">
      <c r="A40" s="9" t="s">
        <v>52</v>
      </c>
      <c r="B40" s="11">
        <v>3</v>
      </c>
      <c r="C40" s="11">
        <v>9</v>
      </c>
      <c r="D40" s="9" t="s">
        <v>128</v>
      </c>
    </row>
    <row r="41" spans="1:4" ht="31.5" thickBot="1">
      <c r="A41" s="9" t="s">
        <v>53</v>
      </c>
      <c r="B41" s="11">
        <v>2</v>
      </c>
      <c r="C41" s="11">
        <v>11.5</v>
      </c>
      <c r="D41" s="9" t="s">
        <v>129</v>
      </c>
    </row>
    <row r="42" spans="1:4" ht="31.5" thickBot="1">
      <c r="A42" s="9" t="s">
        <v>54</v>
      </c>
      <c r="B42" s="11">
        <v>6</v>
      </c>
      <c r="C42" s="11">
        <v>8.5</v>
      </c>
      <c r="D42" s="9" t="s">
        <v>130</v>
      </c>
    </row>
    <row r="43" spans="1:4" ht="31.5" thickBot="1">
      <c r="A43" s="9" t="s">
        <v>55</v>
      </c>
      <c r="B43" s="11">
        <v>3</v>
      </c>
      <c r="C43" s="11">
        <v>4</v>
      </c>
      <c r="D43" s="9" t="s">
        <v>131</v>
      </c>
    </row>
    <row r="44" spans="1:4" ht="31.5" thickBot="1">
      <c r="A44" s="9" t="s">
        <v>57</v>
      </c>
      <c r="B44" s="11">
        <v>5</v>
      </c>
      <c r="C44" s="11">
        <v>7</v>
      </c>
      <c r="D44" s="9" t="s">
        <v>132</v>
      </c>
    </row>
    <row r="45" spans="1:4" ht="15.95" thickBot="1">
      <c r="A45" s="9" t="s">
        <v>58</v>
      </c>
      <c r="B45" s="11">
        <v>7</v>
      </c>
      <c r="C45" s="11">
        <v>4</v>
      </c>
      <c r="D45" s="9" t="s">
        <v>133</v>
      </c>
    </row>
    <row r="46" spans="1:4" ht="15.95" thickBot="1">
      <c r="A46" s="9" t="s">
        <v>59</v>
      </c>
      <c r="B46" s="11">
        <v>5</v>
      </c>
      <c r="C46" s="11">
        <v>4</v>
      </c>
      <c r="D46" s="9" t="s">
        <v>134</v>
      </c>
    </row>
    <row r="47" spans="1:4" ht="15.95" thickBot="1">
      <c r="A47" s="9" t="s">
        <v>61</v>
      </c>
      <c r="B47" s="11">
        <v>5</v>
      </c>
      <c r="C47" s="11">
        <v>8</v>
      </c>
      <c r="D47" s="9" t="s">
        <v>135</v>
      </c>
    </row>
    <row r="48" spans="1:4" ht="15.95" thickBot="1">
      <c r="A48" s="9" t="s">
        <v>60</v>
      </c>
      <c r="B48" s="11">
        <v>1</v>
      </c>
      <c r="C48" s="11">
        <v>10</v>
      </c>
      <c r="D48" s="9" t="s">
        <v>136</v>
      </c>
    </row>
    <row r="49" spans="1:4" ht="31.5" thickBot="1">
      <c r="A49" s="9" t="s">
        <v>62</v>
      </c>
      <c r="B49" s="11">
        <v>2</v>
      </c>
      <c r="C49" s="11">
        <v>1.5</v>
      </c>
      <c r="D49" s="9" t="s">
        <v>137</v>
      </c>
    </row>
    <row r="50" spans="1:4" ht="31.5" thickBot="1">
      <c r="A50" s="9" t="s">
        <v>65</v>
      </c>
      <c r="B50" s="11">
        <v>2</v>
      </c>
      <c r="C50" s="11">
        <v>5.5</v>
      </c>
      <c r="D50" s="9" t="s">
        <v>138</v>
      </c>
    </row>
    <row r="51" spans="1:4" ht="31.5" thickBot="1">
      <c r="A51" s="9" t="s">
        <v>63</v>
      </c>
      <c r="B51" s="11">
        <v>4</v>
      </c>
      <c r="C51" s="11">
        <v>7.5</v>
      </c>
      <c r="D51" s="9" t="s">
        <v>139</v>
      </c>
    </row>
    <row r="52" spans="1:4" ht="31.5" thickBot="1">
      <c r="A52" s="9" t="s">
        <v>66</v>
      </c>
      <c r="B52" s="11">
        <v>3</v>
      </c>
      <c r="C52" s="11">
        <v>3</v>
      </c>
      <c r="D52" s="9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7f1081-cb5f-4273-a356-0cfad889112a" xsi:nil="true"/>
    <lcf76f155ced4ddcb4097134ff3c332f xmlns="e978a0d9-2928-4050-9ad7-dfdb769c66c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88B59C93497948B5AA5A44F63904F0" ma:contentTypeVersion="17" ma:contentTypeDescription="Create a new document." ma:contentTypeScope="" ma:versionID="1306cf786b72fd3ee78e106285c61111">
  <xsd:schema xmlns:xsd="http://www.w3.org/2001/XMLSchema" xmlns:xs="http://www.w3.org/2001/XMLSchema" xmlns:p="http://schemas.microsoft.com/office/2006/metadata/properties" xmlns:ns2="e978a0d9-2928-4050-9ad7-dfdb769c66c5" xmlns:ns3="057f1081-cb5f-4273-a356-0cfad889112a" targetNamespace="http://schemas.microsoft.com/office/2006/metadata/properties" ma:root="true" ma:fieldsID="abd22daf38d1f6e0c8480fd8a23eaff3" ns2:_="" ns3:_="">
    <xsd:import namespace="e978a0d9-2928-4050-9ad7-dfdb769c66c5"/>
    <xsd:import namespace="057f1081-cb5f-4273-a356-0cfad88911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8a0d9-2928-4050-9ad7-dfdb769c6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9734b92-821e-4eb9-8014-b10f030d01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f1081-cb5f-4273-a356-0cfad88911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2f7ea07-e58c-4365-b579-d856e38661f0}" ma:internalName="TaxCatchAll" ma:showField="CatchAllData" ma:web="057f1081-cb5f-4273-a356-0cfad88911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3CFFFD-0BC5-4EAC-B468-E5DDA8B81C57}"/>
</file>

<file path=customXml/itemProps2.xml><?xml version="1.0" encoding="utf-8"?>
<ds:datastoreItem xmlns:ds="http://schemas.openxmlformats.org/officeDocument/2006/customXml" ds:itemID="{B595DB8E-619D-41C1-AE8D-6200615ECA2D}"/>
</file>

<file path=customXml/itemProps3.xml><?xml version="1.0" encoding="utf-8"?>
<ds:datastoreItem xmlns:ds="http://schemas.openxmlformats.org/officeDocument/2006/customXml" ds:itemID="{F82E706B-5556-4F22-90EB-CC0860BD9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 Wright</dc:creator>
  <cp:keywords/>
  <dc:description/>
  <cp:lastModifiedBy>April Tan</cp:lastModifiedBy>
  <cp:revision/>
  <dcterms:created xsi:type="dcterms:W3CDTF">2024-06-28T14:02:53Z</dcterms:created>
  <dcterms:modified xsi:type="dcterms:W3CDTF">2024-07-18T13:33:17Z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0x0101004288B59C93497948B5AA5A44F63904F0</vt:lpwstr>
  </property>
  <property fmtid="{D5CDD505-2E9C-101B-9397-08002B2CF9AE}" pid="3" name="MediaServiceImageTags">
    <vt:lpwstr/>
  </property>
</Properties>
</file>